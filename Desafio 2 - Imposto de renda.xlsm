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ntsbrasil-my.sharepoint.com/personal/shart_ntsbrasil_com/Documents/Documentos/Curso Excel/"/>
    </mc:Choice>
  </mc:AlternateContent>
  <xr:revisionPtr revIDLastSave="600" documentId="8_{3679C541-28B5-437D-9041-A64E76AAD44A}" xr6:coauthVersionLast="47" xr6:coauthVersionMax="47" xr10:uidLastSave="{2259AA5D-BFF0-4BFB-AF25-75F101404EEC}"/>
  <bookViews>
    <workbookView xWindow="-110" yWindow="-110" windowWidth="19420" windowHeight="10300" tabRatio="376" xr2:uid="{59C15E23-AB75-4609-BF24-52E1BFF8C725}"/>
  </bookViews>
  <sheets>
    <sheet name="TITULAR" sheetId="1" r:id="rId1"/>
    <sheet name="INFORMES" sheetId="2" r:id="rId2"/>
    <sheet name="NOTAS" sheetId="3" r:id="rId3"/>
    <sheet name="RESUMO" sheetId="5" r:id="rId4"/>
    <sheet name="TABELAS" sheetId="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5" l="1"/>
  <c r="D24" i="5"/>
  <c r="D22" i="5"/>
  <c r="D25" i="5" s="1"/>
  <c r="C21" i="5"/>
  <c r="D18" i="5"/>
  <c r="D17" i="5"/>
  <c r="C18" i="5"/>
  <c r="C17" i="5"/>
  <c r="C7" i="2"/>
  <c r="D19" i="5" s="1"/>
  <c r="D16" i="5"/>
  <c r="D15" i="5"/>
  <c r="D14" i="5"/>
  <c r="C16" i="5"/>
  <c r="C15" i="5"/>
  <c r="C14" i="5"/>
  <c r="C13" i="5"/>
  <c r="D10" i="5"/>
  <c r="D11" i="5"/>
  <c r="D9" i="5"/>
  <c r="C11" i="5"/>
  <c r="C10" i="5"/>
  <c r="C9" i="5"/>
  <c r="C8" i="5"/>
</calcChain>
</file>

<file path=xl/sharedStrings.xml><?xml version="1.0" encoding="utf-8"?>
<sst xmlns="http://schemas.openxmlformats.org/spreadsheetml/2006/main" count="130" uniqueCount="99">
  <si>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</si>
  <si>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</si>
  <si>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</si>
  <si>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</si>
  <si>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</si>
  <si>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</si>
  <si>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</si>
  <si>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</si>
  <si>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</si>
  <si>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</si>
  <si>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</si>
  <si>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</si>
  <si>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</si>
  <si>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</si>
  <si>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</si>
  <si>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Preencha os dados da sua pessoa física abaixo</t>
  </si>
  <si>
    <t>SIM</t>
  </si>
  <si>
    <t>NÃO</t>
  </si>
  <si>
    <t>FELIPE SKYWALKER NOBUNAGA</t>
  </si>
  <si>
    <t>Mia Goth</t>
  </si>
  <si>
    <t>Rua Dos Limoeiros, Ruan, - Nº 180</t>
  </si>
  <si>
    <t>Rua Dos Limoeiros, R, - Nº 180</t>
  </si>
  <si>
    <t>felipe@dio.me</t>
  </si>
  <si>
    <t>2. INFORMES DE RENDIMENTOS BANCÁRIOS</t>
  </si>
  <si>
    <t>Preencha com seus dados atuais de cada banco</t>
  </si>
  <si>
    <t>BANCO</t>
  </si>
  <si>
    <t>VALOR ATUAL</t>
  </si>
  <si>
    <t>ANEXO 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</si>
  <si>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</si>
  <si>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</si>
  <si>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</si>
  <si>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</si>
  <si>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</si>
  <si>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</si>
  <si>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</si>
  <si>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</si>
  <si>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</si>
  <si>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</si>
  <si>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</si>
  <si>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</si>
  <si>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</si>
  <si>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</si>
  <si>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</si>
  <si>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</si>
  <si>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</si>
  <si>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</si>
  <si>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</si>
  <si>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</si>
  <si>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</si>
  <si>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</si>
  <si>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</si>
  <si>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</si>
  <si>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</si>
  <si>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</si>
  <si>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</si>
  <si>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</si>
  <si>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</si>
  <si>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</si>
  <si>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</si>
  <si>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</si>
  <si>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</si>
  <si>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</si>
  <si>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</si>
  <si>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</si>
  <si>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</si>
  <si>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</si>
  <si>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</si>
  <si>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</si>
  <si>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</si>
  <si>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</si>
  <si>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</si>
  <si>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</si>
  <si>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</si>
  <si>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</si>
  <si>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</si>
  <si>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</si>
  <si>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</si>
  <si>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</si>
  <si>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</si>
  <si>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topazao_2025.pdf</t>
  </si>
  <si>
    <t>1º Banco</t>
  </si>
  <si>
    <t>2º Banco</t>
  </si>
  <si>
    <t>3º Banco</t>
  </si>
  <si>
    <t>TOTAL</t>
  </si>
  <si>
    <t>3. NOTAS BANCÁRIAS OU EXTRATO DE HOLERITES</t>
  </si>
  <si>
    <t>São todos os valores de entrada mês a mês de receita</t>
  </si>
  <si>
    <t>DATA</t>
  </si>
  <si>
    <t>CATEGORIA</t>
  </si>
  <si>
    <t>VALOR</t>
  </si>
  <si>
    <t>ENTRADAS</t>
  </si>
  <si>
    <t>HOLERITE</t>
  </si>
  <si>
    <t>Confirme as informações abaixo</t>
  </si>
  <si>
    <t>RESUMO</t>
  </si>
  <si>
    <t>4º Banco</t>
  </si>
  <si>
    <t>5º Banco</t>
  </si>
  <si>
    <t>CNPJ</t>
  </si>
  <si>
    <t>FREELANCER</t>
  </si>
  <si>
    <t>RENDIMENTOS TOTAIS</t>
  </si>
  <si>
    <t>NOTAS / EXTRATOS TOTAIS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</si>
</sst>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7" formatCode="00000\-000"/>
    <numFmt numFmtId="168" formatCode="&quot;(&quot;00&quot;)&quot;0000&quot;-&quot;0000"/>
    <numFmt numFmtId="169" formatCode="&quot;(&quot;00&quot;)&quot;00000&quot;-&quot;0000"/>
    <numFmt numFmtId="170" formatCode="&quot;R$&quot;\ #,##0.00"/>
    <numFmt numFmtId="171" formatCode="mmmm\-yyyy"/>
  </numFmts>
  <fonts count="1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Aptos Narrow"/>
      <family val="2"/>
      <scheme val="minor"/>
    </font>
    <font>
      <i/>
      <sz val="11"/>
      <color theme="2" tint="-0.74999237037263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sz val="11"/>
      <color rgb="FF9C5700"/>
      <name val="Segoe UI Light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 Light"/>
      <family val="2"/>
    </font>
  </fonts>
  <fills count="7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E37BF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4" fillId="0" borderId="2" xfId="0" applyFont="1" applyBorder="1" applyAlignment="1">
      <alignment horizontal="right"/>
    </xf>
    <xf numFmtId="0" fontId="5" fillId="0" borderId="3" xfId="1" applyFont="1" applyBorder="1"/>
    <xf numFmtId="0" fontId="1" fillId="0" borderId="3" xfId="1" applyBorder="1"/>
    <xf numFmtId="0" fontId="6" fillId="4" borderId="4" xfId="0" applyFont="1" applyFill="1" applyBorder="1" applyAlignment="1">
      <alignment horizontal="left" vertical="center" indent="3"/>
    </xf>
    <xf numFmtId="0" fontId="3" fillId="2" borderId="0" xfId="0" applyFont="1" applyFill="1"/>
    <xf numFmtId="0" fontId="8" fillId="0" borderId="0" xfId="0" applyFont="1"/>
    <xf numFmtId="170" fontId="9" fillId="3" borderId="0" xfId="2" applyNumberFormat="1" applyFont="1" applyAlignment="1">
      <alignment horizontal="center"/>
    </xf>
    <xf numFmtId="0" fontId="9" fillId="3" borderId="0" xfId="2" applyFont="1" applyAlignment="1">
      <alignment horizontal="center"/>
    </xf>
    <xf numFmtId="0" fontId="12" fillId="5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2" fillId="3" borderId="2" xfId="2" applyBorder="1" applyAlignment="1" applyProtection="1">
      <alignment horizontal="left"/>
      <protection locked="0"/>
    </xf>
    <xf numFmtId="164" fontId="2" fillId="3" borderId="2" xfId="2" applyNumberFormat="1" applyBorder="1" applyAlignment="1" applyProtection="1">
      <alignment horizontal="left"/>
      <protection locked="0"/>
    </xf>
    <xf numFmtId="14" fontId="2" fillId="3" borderId="2" xfId="2" applyNumberFormat="1" applyBorder="1" applyAlignment="1" applyProtection="1">
      <alignment horizontal="left"/>
      <protection locked="0"/>
    </xf>
    <xf numFmtId="167" fontId="2" fillId="3" borderId="2" xfId="2" applyNumberFormat="1" applyBorder="1" applyAlignment="1" applyProtection="1">
      <alignment horizontal="left"/>
      <protection locked="0"/>
    </xf>
    <xf numFmtId="168" fontId="2" fillId="3" borderId="2" xfId="2" applyNumberFormat="1" applyBorder="1" applyAlignment="1" applyProtection="1">
      <alignment horizontal="left"/>
      <protection locked="0"/>
    </xf>
    <xf numFmtId="169" fontId="2" fillId="3" borderId="2" xfId="2" applyNumberFormat="1" applyBorder="1" applyAlignment="1" applyProtection="1">
      <alignment horizontal="left"/>
      <protection locked="0"/>
    </xf>
    <xf numFmtId="0" fontId="7" fillId="3" borderId="2" xfId="3" applyFill="1" applyBorder="1" applyAlignment="1" applyProtection="1">
      <alignment horizontal="left"/>
      <protection locked="0"/>
    </xf>
    <xf numFmtId="170" fontId="2" fillId="3" borderId="2" xfId="2" applyNumberFormat="1" applyBorder="1" applyAlignment="1" applyProtection="1">
      <alignment horizontal="left"/>
      <protection locked="0"/>
    </xf>
    <xf numFmtId="171" fontId="11" fillId="0" borderId="0" xfId="0" applyNumberFormat="1" applyFont="1" applyAlignment="1" applyProtection="1">
      <alignment horizontal="center" vertical="center"/>
      <protection locked="0"/>
    </xf>
    <xf numFmtId="49" fontId="11" fillId="0" borderId="0" xfId="0" applyNumberFormat="1" applyFont="1" applyAlignment="1" applyProtection="1">
      <alignment horizontal="center" vertical="center"/>
      <protection locked="0"/>
    </xf>
    <xf numFmtId="170" fontId="11" fillId="0" borderId="0" xfId="0" applyNumberFormat="1" applyFont="1" applyAlignment="1" applyProtection="1">
      <alignment horizontal="center" vertical="center"/>
      <protection locked="0"/>
    </xf>
    <xf numFmtId="171" fontId="11" fillId="0" borderId="0" xfId="0" applyNumberFormat="1" applyFont="1" applyAlignment="1" applyProtection="1">
      <alignment horizontal="center" vertical="center"/>
    </xf>
    <xf numFmtId="49" fontId="11" fillId="0" borderId="0" xfId="0" applyNumberFormat="1" applyFont="1" applyAlignment="1" applyProtection="1">
      <alignment horizontal="center" vertical="center"/>
    </xf>
    <xf numFmtId="170" fontId="11" fillId="0" borderId="0" xfId="0" applyNumberFormat="1" applyFont="1" applyAlignment="1" applyProtection="1">
      <alignment horizontal="center" vertical="center"/>
    </xf>
    <xf numFmtId="0" fontId="0" fillId="0" borderId="0" xfId="0" applyProtection="1"/>
    <xf numFmtId="0" fontId="5" fillId="0" borderId="3" xfId="1" applyFont="1" applyBorder="1" applyProtection="1"/>
    <xf numFmtId="0" fontId="1" fillId="0" borderId="3" xfId="1" applyBorder="1" applyProtection="1"/>
    <xf numFmtId="0" fontId="6" fillId="4" borderId="4" xfId="0" applyFont="1" applyFill="1" applyBorder="1" applyAlignment="1" applyProtection="1">
      <alignment horizontal="left" vertical="center" indent="3"/>
    </xf>
    <xf numFmtId="0" fontId="12" fillId="6" borderId="0" xfId="0" applyFont="1" applyFill="1" applyAlignment="1" applyProtection="1">
      <alignment horizontal="center"/>
    </xf>
    <xf numFmtId="0" fontId="11" fillId="0" borderId="5" xfId="0" applyFont="1" applyBorder="1" applyAlignment="1" applyProtection="1">
      <alignment horizontal="center"/>
    </xf>
    <xf numFmtId="0" fontId="11" fillId="0" borderId="5" xfId="0" applyFont="1" applyBorder="1" applyAlignment="1" applyProtection="1">
      <alignment horizontal="center"/>
    </xf>
    <xf numFmtId="164" fontId="11" fillId="0" borderId="5" xfId="0" applyNumberFormat="1" applyFont="1" applyBorder="1" applyAlignment="1" applyProtection="1">
      <alignment horizontal="center"/>
    </xf>
    <xf numFmtId="14" fontId="11" fillId="0" borderId="5" xfId="0" applyNumberFormat="1" applyFont="1" applyBorder="1" applyAlignment="1" applyProtection="1">
      <alignment horizontal="center"/>
    </xf>
    <xf numFmtId="170" fontId="11" fillId="0" borderId="5" xfId="0" applyNumberFormat="1" applyFont="1" applyBorder="1" applyAlignment="1" applyProtection="1">
      <alignment horizontal="center"/>
    </xf>
    <xf numFmtId="171" fontId="11" fillId="0" borderId="5" xfId="0" applyNumberFormat="1" applyFont="1" applyBorder="1" applyAlignment="1" applyProtection="1">
      <alignment horizontal="center" vertical="center"/>
    </xf>
    <xf numFmtId="171" fontId="10" fillId="4" borderId="0" xfId="0" applyNumberFormat="1" applyFont="1" applyFill="1" applyAlignment="1" applyProtection="1">
      <alignment horizontal="center" vertical="center"/>
    </xf>
    <xf numFmtId="170" fontId="10" fillId="4" borderId="6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/>
    </xf>
    <xf numFmtId="170" fontId="11" fillId="0" borderId="0" xfId="0" applyNumberFormat="1" applyFont="1" applyAlignment="1" applyProtection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E37BF"/>
      <color rgb="FF0E1317"/>
      <color rgb="FF6124E8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Rendimentos</a:t>
            </a:r>
            <a:r>
              <a:rPr lang="pt-BR" baseline="0"/>
              <a:t> Bancários</a:t>
            </a:r>
            <a:endParaRPr lang="pt-BR"/>
          </a:p>
        </c:rich>
      </c:tx>
      <c:layout>
        <c:manualLayout>
          <c:xMode val="edge"/>
          <c:yMode val="edge"/>
          <c:x val="0.25751385125442317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C57-4E1E-83A3-A05D776571A7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C57-4E1E-83A3-A05D776571A7}"/>
              </c:ext>
            </c:extLst>
          </c:dPt>
          <c:dPt>
            <c:idx val="2"/>
            <c:bubble3D val="0"/>
            <c:spPr>
              <a:solidFill>
                <a:srgbClr val="EE37B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C57-4E1E-83A3-A05D776571A7}"/>
              </c:ext>
            </c:extLst>
          </c:dPt>
          <c:dPt>
            <c:idx val="3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C57-4E1E-83A3-A05D776571A7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C57-4E1E-83A3-A05D776571A7}"/>
              </c:ext>
            </c:extLst>
          </c:dPt>
          <c:dLbls>
            <c:dLbl>
              <c:idx val="0"/>
              <c:layout>
                <c:manualLayout>
                  <c:x val="4.2603674540682313E-2"/>
                  <c:y val="6.976305045202678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57-4E1E-83A3-A05D776571A7}"/>
                </c:ext>
              </c:extLst>
            </c:dLbl>
            <c:dLbl>
              <c:idx val="1"/>
              <c:layout>
                <c:manualLayout>
                  <c:x val="0.12755927384076982"/>
                  <c:y val="-7.430847185768445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57-4E1E-83A3-A05D776571A7}"/>
                </c:ext>
              </c:extLst>
            </c:dLbl>
            <c:dLbl>
              <c:idx val="2"/>
              <c:layout>
                <c:manualLayout>
                  <c:x val="-1.6325896762904638E-2"/>
                  <c:y val="1.879629629629629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57-4E1E-83A3-A05D776571A7}"/>
                </c:ext>
              </c:extLst>
            </c:dLbl>
            <c:dLbl>
              <c:idx val="3"/>
              <c:layout>
                <c:manualLayout>
                  <c:x val="-4.7137357830271218E-2"/>
                  <c:y val="1.356080489938757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57-4E1E-83A3-A05D776571A7}"/>
                </c:ext>
              </c:extLst>
            </c:dLbl>
            <c:dLbl>
              <c:idx val="4"/>
              <c:layout>
                <c:manualLayout>
                  <c:x val="7.1443132108486435E-2"/>
                  <c:y val="1.650043744531931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57-4E1E-83A3-A05D776571A7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RESUMO!$C$14:$C$18</c:f>
              <c:strCache>
                <c:ptCount val="5"/>
                <c:pt idx="0">
                  <c:v>341 - Itaú Unibanco</c:v>
                </c:pt>
                <c:pt idx="1">
                  <c:v>237 - Banco Bradesco</c:v>
                </c:pt>
                <c:pt idx="2">
                  <c:v>33 - Banco Santander</c:v>
                </c:pt>
                <c:pt idx="3">
                  <c:v>260 - Nubank</c:v>
                </c:pt>
                <c:pt idx="4">
                  <c:v>82 - Banco Topázio</c:v>
                </c:pt>
              </c:strCache>
            </c:strRef>
          </c:cat>
          <c:val>
            <c:numRef>
              <c:f>RESUMO!$D$14:$D$18</c:f>
              <c:numCache>
                <c:formatCode>"R$"\ #,##0.00</c:formatCode>
                <c:ptCount val="5"/>
                <c:pt idx="0">
                  <c:v>500000</c:v>
                </c:pt>
                <c:pt idx="1">
                  <c:v>1312312</c:v>
                </c:pt>
                <c:pt idx="2">
                  <c:v>5656540</c:v>
                </c:pt>
                <c:pt idx="3">
                  <c:v>60000</c:v>
                </c:pt>
                <c:pt idx="4">
                  <c:v>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57-4E1E-83A3-A05D776571A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</c:dPt>
                <c:dPt>
                  <c:idx val="1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</c:dPt>
                <c:dPt>
                  <c:idx val="2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</c:dPt>
                <c:dPt>
                  <c:idx val="3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</c:dPt>
                <c:dPt>
                  <c:idx val="4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RESUMO!$C$14:$C$18</c15:sqref>
                        </c15:formulaRef>
                      </c:ext>
                    </c:extLst>
                    <c:strCache>
                      <c:ptCount val="5"/>
                      <c:pt idx="0">
                        <c:v>341 - Itaú Unibanco</c:v>
                      </c:pt>
                      <c:pt idx="1">
                        <c:v>237 - Banco Bradesco</c:v>
                      </c:pt>
                      <c:pt idx="2">
                        <c:v>33 - Banco Santander</c:v>
                      </c:pt>
                      <c:pt idx="3">
                        <c:v>260 - Nubank</c:v>
                      </c:pt>
                      <c:pt idx="4">
                        <c:v>82 - Banco Topázio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RESUMO!$E$14:$E$18</c15:sqref>
                        </c15:formulaRef>
                      </c:ext>
                    </c:extLst>
                    <c:numCache>
                      <c:formatCode>"R$"\ #,##0.00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C57-4E1E-83A3-A05D776571A7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95253718285207"/>
          <c:y val="0.3763757655293089"/>
          <c:w val="0.30489744652363798"/>
          <c:h val="0.390627734033245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Resumo</a:t>
            </a:r>
          </a:p>
        </c:rich>
      </c:tx>
      <c:layout>
        <c:manualLayout>
          <c:xMode val="edge"/>
          <c:yMode val="edge"/>
          <c:x val="0.3580848913000138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64A-4E33-BC65-2C49802363FC}"/>
              </c:ext>
            </c:extLst>
          </c:dPt>
          <c:dLbls>
            <c:dLbl>
              <c:idx val="0"/>
              <c:layout>
                <c:manualLayout>
                  <c:x val="4.2551530424369387E-3"/>
                  <c:y val="-2.0815106445027704E-4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263839927572428"/>
                      <c:h val="0.10164370078740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64A-4E33-BC65-2C49802363FC}"/>
                </c:ext>
              </c:extLst>
            </c:dLbl>
            <c:dLbl>
              <c:idx val="1"/>
              <c:layout>
                <c:manualLayout>
                  <c:x val="6.3829808621144683E-3"/>
                  <c:y val="-1.6241980169144675E-3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263838587313987"/>
                      <c:h val="0.106273330417031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64A-4E33-BC65-2C49802363FC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(RESUMO!$C$19,RESUMO!$C$25)</c:f>
              <c:strCache>
                <c:ptCount val="2"/>
                <c:pt idx="0">
                  <c:v>RENDIMENTOS TOTAIS</c:v>
                </c:pt>
                <c:pt idx="1">
                  <c:v>NOTAS / EXTRATOS TOTAIS</c:v>
                </c:pt>
              </c:strCache>
            </c:strRef>
          </c:cat>
          <c:val>
            <c:numRef>
              <c:f>(RESUMO!$D$19,RESUMO!$D$25)</c:f>
              <c:numCache>
                <c:formatCode>"R$"\ #,##0.00</c:formatCode>
                <c:ptCount val="2"/>
                <c:pt idx="0">
                  <c:v>7568852</c:v>
                </c:pt>
                <c:pt idx="1">
                  <c:v>612000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A-4E33-BC65-2C49802363F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28435312"/>
        <c:axId val="52843339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(RESUMO!$C$19,RESUMO!$C$25)</c15:sqref>
                        </c15:formulaRef>
                      </c:ext>
                    </c:extLst>
                    <c:strCache>
                      <c:ptCount val="2"/>
                      <c:pt idx="0">
                        <c:v>RENDIMENTOS TOTAIS</c:v>
                      </c:pt>
                      <c:pt idx="1">
                        <c:v>NOTAS / EXTRATOS TOTAIS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(RESUMO!$E$19,RESUMO!$E$25)</c15:sqref>
                        </c15:formulaRef>
                      </c:ext>
                    </c:extLst>
                    <c:numCache>
                      <c:formatCode>"R$"\ #,##0.00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64A-4E33-BC65-2C49802363FC}"/>
                  </c:ext>
                </c:extLst>
              </c15:ser>
            </c15:filteredBarSeries>
          </c:ext>
        </c:extLst>
      </c:barChart>
      <c:catAx>
        <c:axId val="52843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433392"/>
        <c:crosses val="autoZero"/>
        <c:auto val="1"/>
        <c:lblAlgn val="ctr"/>
        <c:lblOffset val="100"/>
        <c:noMultiLvlLbl val="0"/>
      </c:catAx>
      <c:valAx>
        <c:axId val="5284333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2843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authwall?trk=bf&amp;trkInfo=AQEhYgGZcQf52AAAAZxJk-hgJsYWRj15XmJNb2bMeWy_lvl6ie6Y1gEoRWXqCrJlzFvuM4zHFqpZw9jpud1wje9oXDiJUAPHiQIkJvrbKuQbDJLL_wq_2X96o8tUQ1OD0uwz_5s=&amp;original_referer=&amp;sessionRedirect=https%3A%2F%2Fwww.linkedin.com%2Fin%2Fsara-hart-0a7157b2%3Futm_source%3Dshare%26utm_campaign%3Dshare_via%26utm_content%3Dprofile%26utm_medium%3Dios_app" TargetMode="External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authwall?trk=bf&amp;trkInfo=AQEhYgGZcQf52AAAAZxJk-hgJsYWRj15XmJNb2bMeWy_lvl6ie6Y1gEoRWXqCrJlzFvuM4zHFqpZw9jpud1wje9oXDiJUAPHiQIkJvrbKuQbDJLL_wq_2X96o8tUQ1OD0uwz_5s=&amp;original_referer=&amp;sessionRedirect=https%3A%2F%2Fwww.linkedin.com%2Fin%2Fsara-hart-0a7157b2%3Futm_source%3Dshare%26utm_campaign%3Dshare_via%26utm_content%3Dprofile%26utm_medium%3Dios_app" TargetMode="External"/><Relationship Id="rId4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7" Type="http://schemas.openxmlformats.org/officeDocument/2006/relationships/hyperlink" Target="#RESUMO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authwall?trk=bf&amp;trkInfo=AQEhYgGZcQf52AAAAZxJk-hgJsYWRj15XmJNb2bMeWy_lvl6ie6Y1gEoRWXqCrJlzFvuM4zHFqpZw9jpud1wje9oXDiJUAPHiQIkJvrbKuQbDJLL_wq_2X96o8tUQ1OD0uwz_5s=&amp;original_referer=&amp;sessionRedirect=https%3A%2F%2Fwww.linkedin.com%2Fin%2Fsara-hart-0a7157b2%3Futm_source%3Dshare%26utm_campaign%3Dshare_via%26utm_content%3Dprofile%26utm_medium%3Dios_app" TargetMode="External"/><Relationship Id="rId4" Type="http://schemas.openxmlformats.org/officeDocument/2006/relationships/hyperlink" Target="#INFORMES!C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NOTAS!C1"/><Relationship Id="rId7" Type="http://schemas.openxmlformats.org/officeDocument/2006/relationships/chart" Target="../charts/chart1.xm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authwall?trk=bf&amp;trkInfo=AQEhYgGZcQf52AAAAZxJk-hgJsYWRj15XmJNb2bMeWy_lvl6ie6Y1gEoRWXqCrJlzFvuM4zHFqpZw9jpud1wje9oXDiJUAPHiQIkJvrbKuQbDJLL_wq_2X96o8tUQ1OD0uwz_5s=&amp;original_referer=&amp;sessionRedirect=https%3A%2F%2Fwww.linkedin.com%2Fin%2Fsara-hart-0a7157b2%3Futm_source%3Dshare%26utm_campaign%3Dshare_via%26utm_content%3Dprofile%26utm_medium%3Dios_app" TargetMode="External"/><Relationship Id="rId4" Type="http://schemas.openxmlformats.org/officeDocument/2006/relationships/hyperlink" Target="#INFORME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3</xdr:row>
      <xdr:rowOff>55563</xdr:rowOff>
    </xdr:from>
    <xdr:to>
      <xdr:col>0</xdr:col>
      <xdr:colOff>1520825</xdr:colOff>
      <xdr:row>7</xdr:row>
      <xdr:rowOff>111125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323041C6-13A0-6206-9167-CE80F58B9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79450"/>
          <a:ext cx="977900" cy="977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241300</xdr:colOff>
      <xdr:row>0</xdr:row>
      <xdr:rowOff>127000</xdr:rowOff>
    </xdr:from>
    <xdr:to>
      <xdr:col>0</xdr:col>
      <xdr:colOff>1822450</xdr:colOff>
      <xdr:row>2</xdr:row>
      <xdr:rowOff>82550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87BCC77D-16A2-51B5-CE53-C0969C7B6006}"/>
            </a:ext>
          </a:extLst>
        </xdr:cNvPr>
        <xdr:cNvSpPr/>
      </xdr:nvSpPr>
      <xdr:spPr>
        <a:xfrm>
          <a:off x="241300" y="127000"/>
          <a:ext cx="15811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>
                <a:gsLst>
                  <a:gs pos="63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  <a:gs pos="0">
                    <a:srgbClr val="FFFFFF"/>
                  </a:gs>
                </a:gsLst>
                <a:lin ang="0" scaled="0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117475</xdr:colOff>
      <xdr:row>8</xdr:row>
      <xdr:rowOff>69850</xdr:rowOff>
    </xdr:from>
    <xdr:to>
      <xdr:col>0</xdr:col>
      <xdr:colOff>1933575</xdr:colOff>
      <xdr:row>10</xdr:row>
      <xdr:rowOff>46037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85C02F-C0C7-051F-5221-9BB84FD4BE9A}"/>
            </a:ext>
          </a:extLst>
        </xdr:cNvPr>
        <xdr:cNvSpPr/>
      </xdr:nvSpPr>
      <xdr:spPr>
        <a:xfrm>
          <a:off x="117475" y="1822450"/>
          <a:ext cx="1816100" cy="393700"/>
        </a:xfrm>
        <a:prstGeom prst="roundRect">
          <a:avLst>
            <a:gd name="adj" fmla="val 50000"/>
          </a:avLst>
        </a:prstGeom>
        <a:gradFill flip="none" rotWithShape="1">
          <a:gsLst>
            <a:gs pos="9000">
              <a:srgbClr val="EE37BF"/>
            </a:gs>
            <a:gs pos="91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117475</xdr:colOff>
      <xdr:row>12</xdr:row>
      <xdr:rowOff>169862</xdr:rowOff>
    </xdr:from>
    <xdr:to>
      <xdr:col>0</xdr:col>
      <xdr:colOff>1933575</xdr:colOff>
      <xdr:row>14</xdr:row>
      <xdr:rowOff>146050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30ADEFA-D9F8-45AE-85D6-01C2944ACB37}"/>
            </a:ext>
          </a:extLst>
        </xdr:cNvPr>
        <xdr:cNvSpPr/>
      </xdr:nvSpPr>
      <xdr:spPr>
        <a:xfrm>
          <a:off x="117475" y="2755900"/>
          <a:ext cx="1816100" cy="3937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117475</xdr:colOff>
      <xdr:row>10</xdr:row>
      <xdr:rowOff>119062</xdr:rowOff>
    </xdr:from>
    <xdr:to>
      <xdr:col>0</xdr:col>
      <xdr:colOff>1933575</xdr:colOff>
      <xdr:row>12</xdr:row>
      <xdr:rowOff>96837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2043E9-6233-403A-95C9-CE00B39298CF}"/>
            </a:ext>
          </a:extLst>
        </xdr:cNvPr>
        <xdr:cNvSpPr/>
      </xdr:nvSpPr>
      <xdr:spPr>
        <a:xfrm>
          <a:off x="117475" y="2289175"/>
          <a:ext cx="1816100" cy="3937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361950</xdr:colOff>
      <xdr:row>15</xdr:row>
      <xdr:rowOff>147637</xdr:rowOff>
    </xdr:from>
    <xdr:to>
      <xdr:col>0</xdr:col>
      <xdr:colOff>1778000</xdr:colOff>
      <xdr:row>17</xdr:row>
      <xdr:rowOff>6350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D51BC946-12B0-D359-1FCD-FD415A0F44D8}"/>
            </a:ext>
          </a:extLst>
        </xdr:cNvPr>
        <xdr:cNvSpPr/>
      </xdr:nvSpPr>
      <xdr:spPr>
        <a:xfrm>
          <a:off x="361950" y="3330575"/>
          <a:ext cx="1416050" cy="2714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SARA 💜</a:t>
          </a:r>
          <a:endParaRPr lang="pt-BR" sz="11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292100</xdr:colOff>
      <xdr:row>15</xdr:row>
      <xdr:rowOff>146050</xdr:rowOff>
    </xdr:from>
    <xdr:to>
      <xdr:col>0</xdr:col>
      <xdr:colOff>1816100</xdr:colOff>
      <xdr:row>15</xdr:row>
      <xdr:rowOff>146050</xdr:rowOff>
    </xdr:to>
    <xdr:cxnSp macro="">
      <xdr:nvCxnSpPr>
        <xdr:cNvPr id="9" name="RETA">
          <a:extLst>
            <a:ext uri="{FF2B5EF4-FFF2-40B4-BE49-F238E27FC236}">
              <a16:creationId xmlns:a16="http://schemas.microsoft.com/office/drawing/2014/main" id="{108C8C95-D7ED-DDFE-85C9-1C9422BCFE74}"/>
            </a:ext>
          </a:extLst>
        </xdr:cNvPr>
        <xdr:cNvCxnSpPr/>
      </xdr:nvCxnSpPr>
      <xdr:spPr>
        <a:xfrm>
          <a:off x="292100" y="3365500"/>
          <a:ext cx="152400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17</xdr:row>
      <xdr:rowOff>182562</xdr:rowOff>
    </xdr:from>
    <xdr:to>
      <xdr:col>0</xdr:col>
      <xdr:colOff>1309686</xdr:colOff>
      <xdr:row>20</xdr:row>
      <xdr:rowOff>3588</xdr:rowOff>
    </xdr:to>
    <xdr:pic>
      <xdr:nvPicPr>
        <xdr:cNvPr id="13" name="Icon_Link" descr="Linkedin circled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139934-72FF-71EA-0E8C-2B72A202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10000"/>
          <a:ext cx="420686" cy="419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1277944</xdr:colOff>
      <xdr:row>20</xdr:row>
      <xdr:rowOff>15875</xdr:rowOff>
    </xdr:from>
    <xdr:to>
      <xdr:col>4</xdr:col>
      <xdr:colOff>373069</xdr:colOff>
      <xdr:row>21</xdr:row>
      <xdr:rowOff>174625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AE840E-3547-4EC4-B7C9-AD4E19B4683F}"/>
            </a:ext>
          </a:extLst>
        </xdr:cNvPr>
        <xdr:cNvSpPr/>
      </xdr:nvSpPr>
      <xdr:spPr>
        <a:xfrm>
          <a:off x="7223132" y="4206875"/>
          <a:ext cx="2349500" cy="341313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3</xdr:row>
      <xdr:rowOff>55563</xdr:rowOff>
    </xdr:from>
    <xdr:to>
      <xdr:col>0</xdr:col>
      <xdr:colOff>1520825</xdr:colOff>
      <xdr:row>7</xdr:row>
      <xdr:rowOff>71438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BABB2877-CD31-45D4-AD8E-58DDE2507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79450"/>
          <a:ext cx="977900" cy="977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241300</xdr:colOff>
      <xdr:row>0</xdr:row>
      <xdr:rowOff>127000</xdr:rowOff>
    </xdr:from>
    <xdr:to>
      <xdr:col>0</xdr:col>
      <xdr:colOff>1822450</xdr:colOff>
      <xdr:row>2</xdr:row>
      <xdr:rowOff>82550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7155B4B-0DA9-42A6-844C-8F67449B417E}"/>
            </a:ext>
          </a:extLst>
        </xdr:cNvPr>
        <xdr:cNvSpPr/>
      </xdr:nvSpPr>
      <xdr:spPr>
        <a:xfrm>
          <a:off x="241300" y="127000"/>
          <a:ext cx="15811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>
                <a:gsLst>
                  <a:gs pos="63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  <a:gs pos="0">
                    <a:srgbClr val="FFFFFF"/>
                  </a:gs>
                </a:gsLst>
                <a:lin ang="0" scaled="0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117475</xdr:colOff>
      <xdr:row>8</xdr:row>
      <xdr:rowOff>53975</xdr:rowOff>
    </xdr:from>
    <xdr:to>
      <xdr:col>0</xdr:col>
      <xdr:colOff>1933575</xdr:colOff>
      <xdr:row>10</xdr:row>
      <xdr:rowOff>53975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E07FD3-507D-4F7A-A4F1-76F06BB6F8CA}"/>
            </a:ext>
          </a:extLst>
        </xdr:cNvPr>
        <xdr:cNvSpPr/>
      </xdr:nvSpPr>
      <xdr:spPr>
        <a:xfrm>
          <a:off x="117475" y="1822450"/>
          <a:ext cx="1816100" cy="3937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117475</xdr:colOff>
      <xdr:row>12</xdr:row>
      <xdr:rowOff>177800</xdr:rowOff>
    </xdr:from>
    <xdr:to>
      <xdr:col>0</xdr:col>
      <xdr:colOff>1933575</xdr:colOff>
      <xdr:row>14</xdr:row>
      <xdr:rowOff>201613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E92A46-892E-4767-96E0-E98630B272C6}"/>
            </a:ext>
          </a:extLst>
        </xdr:cNvPr>
        <xdr:cNvSpPr/>
      </xdr:nvSpPr>
      <xdr:spPr>
        <a:xfrm>
          <a:off x="117475" y="2755900"/>
          <a:ext cx="1816100" cy="3937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117475</xdr:colOff>
      <xdr:row>10</xdr:row>
      <xdr:rowOff>127000</xdr:rowOff>
    </xdr:from>
    <xdr:to>
      <xdr:col>0</xdr:col>
      <xdr:colOff>1933575</xdr:colOff>
      <xdr:row>12</xdr:row>
      <xdr:rowOff>104775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FCBDC2-D527-4609-8F6C-F4967450E903}"/>
            </a:ext>
          </a:extLst>
        </xdr:cNvPr>
        <xdr:cNvSpPr/>
      </xdr:nvSpPr>
      <xdr:spPr>
        <a:xfrm>
          <a:off x="117475" y="2289175"/>
          <a:ext cx="1816100" cy="393700"/>
        </a:xfrm>
        <a:prstGeom prst="roundRect">
          <a:avLst>
            <a:gd name="adj" fmla="val 50000"/>
          </a:avLst>
        </a:prstGeom>
        <a:gradFill flip="none" rotWithShape="1">
          <a:gsLst>
            <a:gs pos="9000">
              <a:srgbClr val="EE37BF"/>
            </a:gs>
            <a:gs pos="91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361950</xdr:colOff>
      <xdr:row>15</xdr:row>
      <xdr:rowOff>203200</xdr:rowOff>
    </xdr:from>
    <xdr:to>
      <xdr:col>0</xdr:col>
      <xdr:colOff>1778000</xdr:colOff>
      <xdr:row>17</xdr:row>
      <xdr:rowOff>61913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0F5D6D9-F913-429F-845F-AF532799EEF5}"/>
            </a:ext>
          </a:extLst>
        </xdr:cNvPr>
        <xdr:cNvSpPr/>
      </xdr:nvSpPr>
      <xdr:spPr>
        <a:xfrm>
          <a:off x="361950" y="3359150"/>
          <a:ext cx="1416050" cy="273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SARA 💜</a:t>
          </a:r>
          <a:endParaRPr lang="pt-BR" sz="11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292100</xdr:colOff>
      <xdr:row>16</xdr:row>
      <xdr:rowOff>3175</xdr:rowOff>
    </xdr:from>
    <xdr:to>
      <xdr:col>0</xdr:col>
      <xdr:colOff>1816100</xdr:colOff>
      <xdr:row>16</xdr:row>
      <xdr:rowOff>3175</xdr:rowOff>
    </xdr:to>
    <xdr:cxnSp macro="">
      <xdr:nvCxnSpPr>
        <xdr:cNvPr id="8" name="RETA">
          <a:extLst>
            <a:ext uri="{FF2B5EF4-FFF2-40B4-BE49-F238E27FC236}">
              <a16:creationId xmlns:a16="http://schemas.microsoft.com/office/drawing/2014/main" id="{B04FF4D3-CD7A-4EC8-9A83-0A05543D16C3}"/>
            </a:ext>
          </a:extLst>
        </xdr:cNvPr>
        <xdr:cNvCxnSpPr/>
      </xdr:nvCxnSpPr>
      <xdr:spPr>
        <a:xfrm>
          <a:off x="292100" y="3365500"/>
          <a:ext cx="152400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18</xdr:row>
      <xdr:rowOff>55562</xdr:rowOff>
    </xdr:from>
    <xdr:to>
      <xdr:col>0</xdr:col>
      <xdr:colOff>1309686</xdr:colOff>
      <xdr:row>20</xdr:row>
      <xdr:rowOff>82963</xdr:rowOff>
    </xdr:to>
    <xdr:pic>
      <xdr:nvPicPr>
        <xdr:cNvPr id="9" name="Icon_Link" descr="Linkedin circled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B219B86-1935-4094-BFE1-588472E96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10000"/>
          <a:ext cx="420686" cy="419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587375</xdr:colOff>
      <xdr:row>32</xdr:row>
      <xdr:rowOff>111134</xdr:rowOff>
    </xdr:from>
    <xdr:to>
      <xdr:col>2</xdr:col>
      <xdr:colOff>2325687</xdr:colOff>
      <xdr:row>34</xdr:row>
      <xdr:rowOff>111134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7456FF-E6D2-4FF2-AABD-FB2FB17C9BA7}"/>
            </a:ext>
          </a:extLst>
        </xdr:cNvPr>
        <xdr:cNvSpPr/>
      </xdr:nvSpPr>
      <xdr:spPr>
        <a:xfrm>
          <a:off x="2667000" y="6604009"/>
          <a:ext cx="2349500" cy="36512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ANTERIOR</a:t>
          </a:r>
          <a:endParaRPr lang="pt-BR" sz="1100"/>
        </a:p>
      </xdr:txBody>
    </xdr:sp>
    <xdr:clientData/>
  </xdr:twoCellAnchor>
  <xdr:twoCellAnchor>
    <xdr:from>
      <xdr:col>3</xdr:col>
      <xdr:colOff>1452581</xdr:colOff>
      <xdr:row>32</xdr:row>
      <xdr:rowOff>111133</xdr:rowOff>
    </xdr:from>
    <xdr:to>
      <xdr:col>4</xdr:col>
      <xdr:colOff>547706</xdr:colOff>
      <xdr:row>34</xdr:row>
      <xdr:rowOff>111133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01B5DD-30CD-438D-8AD6-E42573B98B30}"/>
            </a:ext>
          </a:extLst>
        </xdr:cNvPr>
        <xdr:cNvSpPr/>
      </xdr:nvSpPr>
      <xdr:spPr>
        <a:xfrm>
          <a:off x="7397769" y="6604008"/>
          <a:ext cx="2349500" cy="36512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3</xdr:row>
      <xdr:rowOff>55563</xdr:rowOff>
    </xdr:from>
    <xdr:to>
      <xdr:col>0</xdr:col>
      <xdr:colOff>1520825</xdr:colOff>
      <xdr:row>7</xdr:row>
      <xdr:rowOff>158750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C951466D-2B3B-4409-A37C-BCED4514A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79450"/>
          <a:ext cx="977900" cy="977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241300</xdr:colOff>
      <xdr:row>0</xdr:row>
      <xdr:rowOff>127000</xdr:rowOff>
    </xdr:from>
    <xdr:to>
      <xdr:col>0</xdr:col>
      <xdr:colOff>1822450</xdr:colOff>
      <xdr:row>2</xdr:row>
      <xdr:rowOff>82550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E6D69F39-999A-4D71-8254-0696062E009D}"/>
            </a:ext>
          </a:extLst>
        </xdr:cNvPr>
        <xdr:cNvSpPr/>
      </xdr:nvSpPr>
      <xdr:spPr>
        <a:xfrm>
          <a:off x="241300" y="127000"/>
          <a:ext cx="15811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>
                <a:gsLst>
                  <a:gs pos="63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  <a:gs pos="0">
                    <a:srgbClr val="FFFFFF"/>
                  </a:gs>
                </a:gsLst>
                <a:lin ang="0" scaled="0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117475</xdr:colOff>
      <xdr:row>8</xdr:row>
      <xdr:rowOff>117475</xdr:rowOff>
    </xdr:from>
    <xdr:to>
      <xdr:col>0</xdr:col>
      <xdr:colOff>1933575</xdr:colOff>
      <xdr:row>10</xdr:row>
      <xdr:rowOff>93662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156351-359A-4282-AE2C-0A066AEB1F26}"/>
            </a:ext>
          </a:extLst>
        </xdr:cNvPr>
        <xdr:cNvSpPr/>
      </xdr:nvSpPr>
      <xdr:spPr>
        <a:xfrm>
          <a:off x="117475" y="1822450"/>
          <a:ext cx="1816100" cy="3937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117475</xdr:colOff>
      <xdr:row>13</xdr:row>
      <xdr:rowOff>11112</xdr:rowOff>
    </xdr:from>
    <xdr:to>
      <xdr:col>0</xdr:col>
      <xdr:colOff>1933575</xdr:colOff>
      <xdr:row>14</xdr:row>
      <xdr:rowOff>193675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6C51CE-27F7-484A-9402-5AA41657F4E5}"/>
            </a:ext>
          </a:extLst>
        </xdr:cNvPr>
        <xdr:cNvSpPr/>
      </xdr:nvSpPr>
      <xdr:spPr>
        <a:xfrm>
          <a:off x="117475" y="2755900"/>
          <a:ext cx="1816100" cy="393700"/>
        </a:xfrm>
        <a:prstGeom prst="roundRect">
          <a:avLst>
            <a:gd name="adj" fmla="val 50000"/>
          </a:avLst>
        </a:prstGeom>
        <a:gradFill flip="none" rotWithShape="1">
          <a:gsLst>
            <a:gs pos="9000">
              <a:srgbClr val="EE37BF"/>
            </a:gs>
            <a:gs pos="91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117475</xdr:colOff>
      <xdr:row>10</xdr:row>
      <xdr:rowOff>166687</xdr:rowOff>
    </xdr:from>
    <xdr:to>
      <xdr:col>0</xdr:col>
      <xdr:colOff>1933575</xdr:colOff>
      <xdr:row>12</xdr:row>
      <xdr:rowOff>144462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D3D196A-7093-4A8D-A666-F83A0484A458}"/>
            </a:ext>
          </a:extLst>
        </xdr:cNvPr>
        <xdr:cNvSpPr/>
      </xdr:nvSpPr>
      <xdr:spPr>
        <a:xfrm>
          <a:off x="117475" y="2289175"/>
          <a:ext cx="1816100" cy="3937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361950</xdr:colOff>
      <xdr:row>15</xdr:row>
      <xdr:rowOff>195262</xdr:rowOff>
    </xdr:from>
    <xdr:to>
      <xdr:col>0</xdr:col>
      <xdr:colOff>1778000</xdr:colOff>
      <xdr:row>17</xdr:row>
      <xdr:rowOff>53975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8565A2C-0819-4E2B-9DCE-C0808AE49183}"/>
            </a:ext>
          </a:extLst>
        </xdr:cNvPr>
        <xdr:cNvSpPr/>
      </xdr:nvSpPr>
      <xdr:spPr>
        <a:xfrm>
          <a:off x="361950" y="3330575"/>
          <a:ext cx="1416050" cy="2714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SARA 💜</a:t>
          </a:r>
          <a:endParaRPr lang="pt-BR" sz="11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292100</xdr:colOff>
      <xdr:row>15</xdr:row>
      <xdr:rowOff>201612</xdr:rowOff>
    </xdr:from>
    <xdr:to>
      <xdr:col>0</xdr:col>
      <xdr:colOff>1816100</xdr:colOff>
      <xdr:row>15</xdr:row>
      <xdr:rowOff>201612</xdr:rowOff>
    </xdr:to>
    <xdr:cxnSp macro="">
      <xdr:nvCxnSpPr>
        <xdr:cNvPr id="8" name="RETA">
          <a:extLst>
            <a:ext uri="{FF2B5EF4-FFF2-40B4-BE49-F238E27FC236}">
              <a16:creationId xmlns:a16="http://schemas.microsoft.com/office/drawing/2014/main" id="{0E66A3A3-3CE8-49D1-A45F-307076042F36}"/>
            </a:ext>
          </a:extLst>
        </xdr:cNvPr>
        <xdr:cNvCxnSpPr/>
      </xdr:nvCxnSpPr>
      <xdr:spPr>
        <a:xfrm>
          <a:off x="292100" y="3365500"/>
          <a:ext cx="152400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18</xdr:row>
      <xdr:rowOff>23812</xdr:rowOff>
    </xdr:from>
    <xdr:to>
      <xdr:col>0</xdr:col>
      <xdr:colOff>1309686</xdr:colOff>
      <xdr:row>20</xdr:row>
      <xdr:rowOff>27400</xdr:rowOff>
    </xdr:to>
    <xdr:pic>
      <xdr:nvPicPr>
        <xdr:cNvPr id="9" name="Icon_Link" descr="Linkedin circled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8000FF5-FFC5-43BB-9DC5-D804BA790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10000"/>
          <a:ext cx="420686" cy="419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15875</xdr:colOff>
      <xdr:row>4</xdr:row>
      <xdr:rowOff>127001</xdr:rowOff>
    </xdr:from>
    <xdr:to>
      <xdr:col>3</xdr:col>
      <xdr:colOff>0</xdr:colOff>
      <xdr:row>6</xdr:row>
      <xdr:rowOff>103189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368EEE-CBBC-4A3D-BA63-B4C7E573DE09}"/>
            </a:ext>
          </a:extLst>
        </xdr:cNvPr>
        <xdr:cNvSpPr/>
      </xdr:nvSpPr>
      <xdr:spPr>
        <a:xfrm>
          <a:off x="2706688" y="1063626"/>
          <a:ext cx="2349500" cy="341313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ANTERIOR</a:t>
          </a:r>
          <a:endParaRPr lang="pt-BR" sz="1100"/>
        </a:p>
      </xdr:txBody>
    </xdr:sp>
    <xdr:clientData/>
  </xdr:twoCellAnchor>
  <xdr:twoCellAnchor>
    <xdr:from>
      <xdr:col>4</xdr:col>
      <xdr:colOff>15894</xdr:colOff>
      <xdr:row>4</xdr:row>
      <xdr:rowOff>127000</xdr:rowOff>
    </xdr:from>
    <xdr:to>
      <xdr:col>5</xdr:col>
      <xdr:colOff>19</xdr:colOff>
      <xdr:row>6</xdr:row>
      <xdr:rowOff>103188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5A2561F-0E89-44EF-BFC2-2B1DB9714FA9}"/>
            </a:ext>
          </a:extLst>
        </xdr:cNvPr>
        <xdr:cNvSpPr/>
      </xdr:nvSpPr>
      <xdr:spPr>
        <a:xfrm>
          <a:off x="7437457" y="1063625"/>
          <a:ext cx="2349500" cy="341313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CONCLUIR ☑️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3</xdr:row>
      <xdr:rowOff>55563</xdr:rowOff>
    </xdr:from>
    <xdr:to>
      <xdr:col>0</xdr:col>
      <xdr:colOff>1520825</xdr:colOff>
      <xdr:row>7</xdr:row>
      <xdr:rowOff>158750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3F4A09EE-7405-49EC-876A-CB365AE34B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77863"/>
          <a:ext cx="977900" cy="9731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241300</xdr:colOff>
      <xdr:row>0</xdr:row>
      <xdr:rowOff>127000</xdr:rowOff>
    </xdr:from>
    <xdr:to>
      <xdr:col>0</xdr:col>
      <xdr:colOff>1822450</xdr:colOff>
      <xdr:row>2</xdr:row>
      <xdr:rowOff>82550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CA0CBC-8CCC-4F6F-A3B4-70B3AC20069C}"/>
            </a:ext>
          </a:extLst>
        </xdr:cNvPr>
        <xdr:cNvSpPr/>
      </xdr:nvSpPr>
      <xdr:spPr>
        <a:xfrm>
          <a:off x="241300" y="127000"/>
          <a:ext cx="1581150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>
                <a:gsLst>
                  <a:gs pos="63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  <a:gs pos="0">
                    <a:srgbClr val="FFFFFF"/>
                  </a:gs>
                </a:gsLst>
                <a:lin ang="0" scaled="0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117475</xdr:colOff>
      <xdr:row>8</xdr:row>
      <xdr:rowOff>117475</xdr:rowOff>
    </xdr:from>
    <xdr:to>
      <xdr:col>0</xdr:col>
      <xdr:colOff>1933575</xdr:colOff>
      <xdr:row>10</xdr:row>
      <xdr:rowOff>93662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1DBC45-E934-4803-B7CD-36F5246FC83A}"/>
            </a:ext>
          </a:extLst>
        </xdr:cNvPr>
        <xdr:cNvSpPr/>
      </xdr:nvSpPr>
      <xdr:spPr>
        <a:xfrm>
          <a:off x="117475" y="1819275"/>
          <a:ext cx="1816100" cy="39528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117475</xdr:colOff>
      <xdr:row>13</xdr:row>
      <xdr:rowOff>11112</xdr:rowOff>
    </xdr:from>
    <xdr:to>
      <xdr:col>0</xdr:col>
      <xdr:colOff>1933575</xdr:colOff>
      <xdr:row>14</xdr:row>
      <xdr:rowOff>193675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1DC1F5-7558-4D35-9D34-BE614C711380}"/>
            </a:ext>
          </a:extLst>
        </xdr:cNvPr>
        <xdr:cNvSpPr/>
      </xdr:nvSpPr>
      <xdr:spPr>
        <a:xfrm>
          <a:off x="117475" y="2760662"/>
          <a:ext cx="1816100" cy="392113"/>
        </a:xfrm>
        <a:prstGeom prst="roundRect">
          <a:avLst>
            <a:gd name="adj" fmla="val 50000"/>
          </a:avLst>
        </a:prstGeom>
        <a:gradFill flip="none" rotWithShape="1">
          <a:gsLst>
            <a:gs pos="9000">
              <a:srgbClr val="EE37BF"/>
            </a:gs>
            <a:gs pos="91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117475</xdr:colOff>
      <xdr:row>10</xdr:row>
      <xdr:rowOff>166687</xdr:rowOff>
    </xdr:from>
    <xdr:to>
      <xdr:col>0</xdr:col>
      <xdr:colOff>1933575</xdr:colOff>
      <xdr:row>12</xdr:row>
      <xdr:rowOff>144462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4D9D6F7-C410-4E8A-A37B-31645E3ADF1E}"/>
            </a:ext>
          </a:extLst>
        </xdr:cNvPr>
        <xdr:cNvSpPr/>
      </xdr:nvSpPr>
      <xdr:spPr>
        <a:xfrm>
          <a:off x="117475" y="2287587"/>
          <a:ext cx="1816100" cy="3968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361950</xdr:colOff>
      <xdr:row>15</xdr:row>
      <xdr:rowOff>195262</xdr:rowOff>
    </xdr:from>
    <xdr:to>
      <xdr:col>0</xdr:col>
      <xdr:colOff>1778000</xdr:colOff>
      <xdr:row>17</xdr:row>
      <xdr:rowOff>53975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37E7B227-DEDE-4F34-A2D5-001D3A16D1D4}"/>
            </a:ext>
          </a:extLst>
        </xdr:cNvPr>
        <xdr:cNvSpPr/>
      </xdr:nvSpPr>
      <xdr:spPr>
        <a:xfrm>
          <a:off x="361950" y="3363912"/>
          <a:ext cx="1416050" cy="2778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SARA 💜</a:t>
          </a:r>
          <a:endParaRPr lang="pt-BR" sz="110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292100</xdr:colOff>
      <xdr:row>15</xdr:row>
      <xdr:rowOff>201612</xdr:rowOff>
    </xdr:from>
    <xdr:to>
      <xdr:col>0</xdr:col>
      <xdr:colOff>1816100</xdr:colOff>
      <xdr:row>15</xdr:row>
      <xdr:rowOff>201612</xdr:rowOff>
    </xdr:to>
    <xdr:cxnSp macro="">
      <xdr:nvCxnSpPr>
        <xdr:cNvPr id="8" name="RETA">
          <a:extLst>
            <a:ext uri="{FF2B5EF4-FFF2-40B4-BE49-F238E27FC236}">
              <a16:creationId xmlns:a16="http://schemas.microsoft.com/office/drawing/2014/main" id="{42AE0117-17F2-4903-B419-2F82515C36AA}"/>
            </a:ext>
          </a:extLst>
        </xdr:cNvPr>
        <xdr:cNvCxnSpPr/>
      </xdr:nvCxnSpPr>
      <xdr:spPr>
        <a:xfrm>
          <a:off x="292100" y="3370262"/>
          <a:ext cx="152400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18</xdr:row>
      <xdr:rowOff>23812</xdr:rowOff>
    </xdr:from>
    <xdr:to>
      <xdr:col>0</xdr:col>
      <xdr:colOff>1309686</xdr:colOff>
      <xdr:row>20</xdr:row>
      <xdr:rowOff>51213</xdr:rowOff>
    </xdr:to>
    <xdr:pic>
      <xdr:nvPicPr>
        <xdr:cNvPr id="9" name="Icon_Link" descr="Linkedin circled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943B919-7B85-405A-AFE2-46D93347D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21112"/>
          <a:ext cx="420686" cy="4226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15875</xdr:colOff>
      <xdr:row>4</xdr:row>
      <xdr:rowOff>127001</xdr:rowOff>
    </xdr:from>
    <xdr:to>
      <xdr:col>3</xdr:col>
      <xdr:colOff>0</xdr:colOff>
      <xdr:row>6</xdr:row>
      <xdr:rowOff>103189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597D47-3B9A-4D52-B637-68A42AF1A5B3}"/>
            </a:ext>
          </a:extLst>
        </xdr:cNvPr>
        <xdr:cNvSpPr/>
      </xdr:nvSpPr>
      <xdr:spPr>
        <a:xfrm>
          <a:off x="2701925" y="1066801"/>
          <a:ext cx="2352675" cy="344488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ANTERIOR</a:t>
          </a:r>
          <a:endParaRPr lang="pt-BR" sz="1100"/>
        </a:p>
      </xdr:txBody>
    </xdr:sp>
    <xdr:clientData/>
  </xdr:twoCellAnchor>
  <xdr:twoCellAnchor>
    <xdr:from>
      <xdr:col>1</xdr:col>
      <xdr:colOff>603250</xdr:colOff>
      <xdr:row>26</xdr:row>
      <xdr:rowOff>172243</xdr:rowOff>
    </xdr:from>
    <xdr:to>
      <xdr:col>3</xdr:col>
      <xdr:colOff>1547812</xdr:colOff>
      <xdr:row>40</xdr:row>
      <xdr:rowOff>26193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8CAC36E-FEEB-D5D0-178B-DB160E15B8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1722437</xdr:colOff>
      <xdr:row>26</xdr:row>
      <xdr:rowOff>180182</xdr:rowOff>
    </xdr:from>
    <xdr:to>
      <xdr:col>4</xdr:col>
      <xdr:colOff>2341561</xdr:colOff>
      <xdr:row>40</xdr:row>
      <xdr:rowOff>34132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1587DA8-8976-D2B6-46B9-517D178A2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4CAE09-3ECE-4A79-B72B-FBF64CEF4190}" name="Tabela1" displayName="Tabela1" ref="C9:E43" totalsRowShown="0" headerRowDxfId="4" dataDxfId="0">
  <autoFilter ref="C9:E43" xr:uid="{FD4CAE09-3ECE-4A79-B72B-FBF64CEF4190}"/>
  <tableColumns count="3">
    <tableColumn id="1" xr3:uid="{EDAB111C-A4CC-4237-9C2A-4958B391ECED}" name="DATA" dataDxfId="3"/>
    <tableColumn id="2" xr3:uid="{684E4AEC-88D7-4129-83E9-35C29D028647}" name="CATEGORIA" dataDxfId="2"/>
    <tableColumn id="3" xr3:uid="{8B478A02-E3F0-49AE-BAEE-09769C5C9AA2}" name="VALOR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felipe@dio.me?subject=Oi,%20precisamos%20falar%20sobre%20sua%20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18098-ECE0-42F5-BD34-72F96D07D906}">
  <sheetPr codeName="Planilha1"/>
  <dimension ref="A3:E19"/>
  <sheetViews>
    <sheetView showGridLines="0" showRowColHeaders="0" tabSelected="1" zoomScale="80" zoomScaleNormal="80" workbookViewId="0">
      <selection activeCell="D16" sqref="D16"/>
    </sheetView>
  </sheetViews>
  <sheetFormatPr defaultRowHeight="14.5" x14ac:dyDescent="0.35"/>
  <cols>
    <col min="1" max="1" width="29.7265625" style="1" customWidth="1"/>
    <col min="3" max="4" width="46.54296875" customWidth="1"/>
  </cols>
  <sheetData>
    <row r="3" spans="3:5" ht="20" thickBot="1" x14ac:dyDescent="0.5">
      <c r="C3" s="3" t="s">
        <v>14</v>
      </c>
      <c r="D3" s="4"/>
      <c r="E3" s="4"/>
    </row>
    <row r="4" spans="3:5" ht="25" customHeight="1" thickTop="1" x14ac:dyDescent="0.35">
      <c r="C4" s="5" t="s">
        <v>15</v>
      </c>
      <c r="D4" s="5"/>
      <c r="E4" s="5"/>
    </row>
    <row r="6" spans="3:5" ht="16.5" x14ac:dyDescent="0.45">
      <c r="C6" s="2" t="s">
        <v>0</v>
      </c>
      <c r="D6" s="12" t="s">
        <v>18</v>
      </c>
    </row>
    <row r="7" spans="3:5" ht="16.5" x14ac:dyDescent="0.45">
      <c r="C7" s="2" t="s">
        <v>1</v>
      </c>
      <c r="D7" s="13">
        <v>12312312322</v>
      </c>
    </row>
    <row r="8" spans="3:5" ht="16.5" x14ac:dyDescent="0.45">
      <c r="C8" s="2" t="s">
        <v>2</v>
      </c>
      <c r="D8" s="14">
        <v>34605</v>
      </c>
    </row>
    <row r="9" spans="3:5" ht="16.5" x14ac:dyDescent="0.45">
      <c r="C9" s="2" t="s">
        <v>3</v>
      </c>
      <c r="D9" s="12">
        <v>31713388</v>
      </c>
    </row>
    <row r="10" spans="3:5" ht="16.5" x14ac:dyDescent="0.45">
      <c r="C10" s="2" t="s">
        <v>4</v>
      </c>
      <c r="D10" s="12" t="s">
        <v>19</v>
      </c>
    </row>
    <row r="11" spans="3:5" ht="16.5" x14ac:dyDescent="0.45">
      <c r="C11" s="2" t="s">
        <v>5</v>
      </c>
      <c r="D11" s="12" t="s">
        <v>20</v>
      </c>
    </row>
    <row r="12" spans="3:5" ht="16.5" x14ac:dyDescent="0.45">
      <c r="C12" s="2" t="s">
        <v>6</v>
      </c>
      <c r="D12" s="12" t="s">
        <v>21</v>
      </c>
    </row>
    <row r="13" spans="3:5" ht="16.5" x14ac:dyDescent="0.45">
      <c r="C13" s="2" t="s">
        <v>7</v>
      </c>
      <c r="D13" s="15">
        <v>987654321</v>
      </c>
    </row>
    <row r="14" spans="3:5" ht="16.5" x14ac:dyDescent="0.45">
      <c r="C14" s="2" t="s">
        <v>8</v>
      </c>
      <c r="D14" s="16">
        <v>1117113388</v>
      </c>
    </row>
    <row r="15" spans="3:5" ht="16.5" x14ac:dyDescent="0.45">
      <c r="C15" s="2" t="s">
        <v>9</v>
      </c>
      <c r="D15" s="17">
        <v>11317113388</v>
      </c>
    </row>
    <row r="16" spans="3:5" ht="16.5" x14ac:dyDescent="0.45">
      <c r="C16" s="2" t="s">
        <v>10</v>
      </c>
      <c r="D16" s="18" t="s">
        <v>22</v>
      </c>
    </row>
    <row r="17" spans="3:4" ht="16.5" x14ac:dyDescent="0.45">
      <c r="C17" s="2" t="s">
        <v>11</v>
      </c>
      <c r="D17" s="12" t="s">
        <v>16</v>
      </c>
    </row>
    <row r="18" spans="3:4" ht="16.5" x14ac:dyDescent="0.45">
      <c r="C18" s="2" t="s">
        <v>12</v>
      </c>
      <c r="D18" s="12" t="s">
        <v>17</v>
      </c>
    </row>
    <row r="19" spans="3:4" ht="16.5" x14ac:dyDescent="0.45">
      <c r="C19" s="2" t="s">
        <v>13</v>
      </c>
      <c r="D19" s="12" t="s">
        <v>17</v>
      </c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0152DC04-8B6A-4C02-A97B-011762C81409}">
      <formula1>"SIM,NÃO"</formula1>
    </dataValidation>
  </dataValidations>
  <hyperlinks>
    <hyperlink ref="D16" r:id="rId1" xr:uid="{F1138B15-A853-4E83-A7D8-BCC01E54882C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CD5D6-9618-4B33-984C-7DC65C28096A}">
  <sheetPr codeName="Planilha2"/>
  <dimension ref="A3:E32"/>
  <sheetViews>
    <sheetView showGridLines="0" showRowColHeaders="0" zoomScale="80" zoomScaleNormal="80" workbookViewId="0">
      <selection activeCell="D10" sqref="D10"/>
    </sheetView>
  </sheetViews>
  <sheetFormatPr defaultRowHeight="14.5" x14ac:dyDescent="0.35"/>
  <cols>
    <col min="1" max="1" width="29.7265625" style="1" customWidth="1"/>
    <col min="3" max="4" width="46.54296875" customWidth="1"/>
  </cols>
  <sheetData>
    <row r="3" spans="3:5" ht="20" customHeight="1" thickBot="1" x14ac:dyDescent="0.5">
      <c r="C3" s="3" t="s">
        <v>23</v>
      </c>
      <c r="D3" s="4"/>
      <c r="E3" s="4"/>
    </row>
    <row r="4" spans="3:5" ht="25" customHeight="1" thickTop="1" x14ac:dyDescent="0.35">
      <c r="C4" s="5" t="s">
        <v>24</v>
      </c>
      <c r="D4" s="5"/>
      <c r="E4" s="5"/>
    </row>
    <row r="6" spans="3:5" x14ac:dyDescent="0.35">
      <c r="C6" t="s">
        <v>83</v>
      </c>
    </row>
    <row r="7" spans="3:5" ht="21" customHeight="1" x14ac:dyDescent="0.45">
      <c r="C7" s="8">
        <f>SUM(D11+D16+D21+D26+D31)</f>
        <v>7568852</v>
      </c>
      <c r="D7" s="9"/>
    </row>
    <row r="9" spans="3:5" x14ac:dyDescent="0.35">
      <c r="C9" s="7" t="s">
        <v>80</v>
      </c>
    </row>
    <row r="10" spans="3:5" ht="16.5" x14ac:dyDescent="0.45">
      <c r="C10" s="2" t="s">
        <v>25</v>
      </c>
      <c r="D10" s="12" t="s">
        <v>49</v>
      </c>
    </row>
    <row r="11" spans="3:5" ht="16.5" x14ac:dyDescent="0.45">
      <c r="C11" s="2" t="s">
        <v>26</v>
      </c>
      <c r="D11" s="19">
        <v>500000</v>
      </c>
    </row>
    <row r="12" spans="3:5" ht="16.5" x14ac:dyDescent="0.45">
      <c r="C12" s="2" t="s">
        <v>27</v>
      </c>
      <c r="D12" s="13" t="s">
        <v>79</v>
      </c>
    </row>
    <row r="14" spans="3:5" x14ac:dyDescent="0.35">
      <c r="C14" s="7" t="s">
        <v>81</v>
      </c>
    </row>
    <row r="15" spans="3:5" ht="16.5" x14ac:dyDescent="0.45">
      <c r="C15" s="2" t="s">
        <v>25</v>
      </c>
      <c r="D15" s="12" t="s">
        <v>39</v>
      </c>
    </row>
    <row r="16" spans="3:5" ht="16.5" x14ac:dyDescent="0.45">
      <c r="C16" s="2" t="s">
        <v>26</v>
      </c>
      <c r="D16" s="19">
        <v>1312312</v>
      </c>
    </row>
    <row r="17" spans="3:4" ht="16.5" x14ac:dyDescent="0.45">
      <c r="C17" s="2" t="s">
        <v>27</v>
      </c>
      <c r="D17" s="13" t="s">
        <v>79</v>
      </c>
    </row>
    <row r="19" spans="3:4" x14ac:dyDescent="0.35">
      <c r="C19" s="7" t="s">
        <v>82</v>
      </c>
    </row>
    <row r="20" spans="3:4" ht="16.5" x14ac:dyDescent="0.45">
      <c r="C20" s="2" t="s">
        <v>25</v>
      </c>
      <c r="D20" s="12" t="s">
        <v>47</v>
      </c>
    </row>
    <row r="21" spans="3:4" ht="16.5" x14ac:dyDescent="0.45">
      <c r="C21" s="2" t="s">
        <v>26</v>
      </c>
      <c r="D21" s="19">
        <v>5656540</v>
      </c>
    </row>
    <row r="22" spans="3:4" ht="16.5" x14ac:dyDescent="0.45">
      <c r="C22" s="2" t="s">
        <v>27</v>
      </c>
      <c r="D22" s="13" t="s">
        <v>79</v>
      </c>
    </row>
    <row r="24" spans="3:4" x14ac:dyDescent="0.35">
      <c r="C24" s="7" t="s">
        <v>93</v>
      </c>
    </row>
    <row r="25" spans="3:4" ht="16.5" x14ac:dyDescent="0.45">
      <c r="C25" s="2" t="s">
        <v>25</v>
      </c>
      <c r="D25" s="12" t="s">
        <v>43</v>
      </c>
    </row>
    <row r="26" spans="3:4" ht="16.5" x14ac:dyDescent="0.45">
      <c r="C26" s="2" t="s">
        <v>26</v>
      </c>
      <c r="D26" s="19">
        <v>60000</v>
      </c>
    </row>
    <row r="27" spans="3:4" ht="16.5" x14ac:dyDescent="0.45">
      <c r="C27" s="2" t="s">
        <v>27</v>
      </c>
      <c r="D27" s="13" t="s">
        <v>79</v>
      </c>
    </row>
    <row r="29" spans="3:4" x14ac:dyDescent="0.35">
      <c r="C29" s="7" t="s">
        <v>94</v>
      </c>
    </row>
    <row r="30" spans="3:4" ht="16.5" x14ac:dyDescent="0.45">
      <c r="C30" s="2" t="s">
        <v>25</v>
      </c>
      <c r="D30" s="12" t="s">
        <v>78</v>
      </c>
    </row>
    <row r="31" spans="3:4" ht="16.5" x14ac:dyDescent="0.45">
      <c r="C31" s="2" t="s">
        <v>26</v>
      </c>
      <c r="D31" s="19">
        <v>40000</v>
      </c>
    </row>
    <row r="32" spans="3:4" ht="16.5" x14ac:dyDescent="0.45">
      <c r="C32" s="2" t="s">
        <v>27</v>
      </c>
      <c r="D32" s="13" t="s">
        <v>79</v>
      </c>
    </row>
  </sheetData>
  <sheetProtection sheet="1" objects="1" scenarios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BF37BDA9-972F-46BA-BEA2-0B1816AA7629}">
          <x14:formula1>
            <xm:f>TABELAS!$A$2:$A$51</xm:f>
          </x14:formula1>
          <xm:sqref>D10 D15 D20 D25 D30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17811-6F5B-4D69-B4EF-F53C5C0E1F51}">
  <sheetPr codeName="Planilha3"/>
  <dimension ref="A3:E43"/>
  <sheetViews>
    <sheetView showGridLines="0" showRowColHeaders="0" zoomScale="80" zoomScaleNormal="80" workbookViewId="0">
      <selection activeCell="D31" sqref="D31"/>
    </sheetView>
  </sheetViews>
  <sheetFormatPr defaultRowHeight="14.5" x14ac:dyDescent="0.35"/>
  <cols>
    <col min="1" max="1" width="29.7265625" style="1" customWidth="1"/>
    <col min="3" max="5" width="33.90625" customWidth="1"/>
  </cols>
  <sheetData>
    <row r="3" spans="3:5" ht="20" thickBot="1" x14ac:dyDescent="0.5">
      <c r="C3" s="3" t="s">
        <v>84</v>
      </c>
      <c r="D3" s="4"/>
      <c r="E3" s="4"/>
    </row>
    <row r="4" spans="3:5" ht="25" customHeight="1" thickTop="1" x14ac:dyDescent="0.35">
      <c r="C4" s="5" t="s">
        <v>85</v>
      </c>
      <c r="D4" s="5"/>
      <c r="E4" s="5"/>
    </row>
    <row r="8" spans="3:5" ht="16.5" x14ac:dyDescent="0.45">
      <c r="C8" s="10" t="s">
        <v>89</v>
      </c>
      <c r="D8" s="10"/>
      <c r="E8" s="10"/>
    </row>
    <row r="9" spans="3:5" ht="16.5" x14ac:dyDescent="0.35">
      <c r="C9" s="11" t="s">
        <v>86</v>
      </c>
      <c r="D9" s="11" t="s">
        <v>87</v>
      </c>
      <c r="E9" s="11" t="s">
        <v>88</v>
      </c>
    </row>
    <row r="10" spans="3:5" ht="16.5" x14ac:dyDescent="0.35">
      <c r="C10" s="20">
        <v>45698</v>
      </c>
      <c r="D10" s="21" t="s">
        <v>90</v>
      </c>
      <c r="E10" s="22">
        <v>3000</v>
      </c>
    </row>
    <row r="11" spans="3:5" ht="16.5" x14ac:dyDescent="0.35">
      <c r="C11" s="20">
        <v>45738</v>
      </c>
      <c r="D11" s="21" t="s">
        <v>95</v>
      </c>
      <c r="E11" s="22">
        <v>50000</v>
      </c>
    </row>
    <row r="12" spans="3:5" ht="16.5" x14ac:dyDescent="0.35">
      <c r="C12" s="20">
        <v>45830</v>
      </c>
      <c r="D12" s="21" t="s">
        <v>96</v>
      </c>
      <c r="E12" s="22">
        <v>1000</v>
      </c>
    </row>
    <row r="13" spans="3:5" ht="16.5" x14ac:dyDescent="0.35">
      <c r="C13" s="20">
        <v>45818</v>
      </c>
      <c r="D13" s="21" t="s">
        <v>90</v>
      </c>
      <c r="E13" s="22">
        <v>3000</v>
      </c>
    </row>
    <row r="14" spans="3:5" ht="16.5" x14ac:dyDescent="0.35">
      <c r="C14" s="20">
        <v>45860</v>
      </c>
      <c r="D14" s="21" t="s">
        <v>95</v>
      </c>
      <c r="E14" s="22">
        <v>50000</v>
      </c>
    </row>
    <row r="15" spans="3:5" ht="16.5" x14ac:dyDescent="0.35">
      <c r="C15" s="20">
        <v>45922</v>
      </c>
      <c r="D15" s="21" t="s">
        <v>96</v>
      </c>
      <c r="E15" s="22">
        <v>1000</v>
      </c>
    </row>
    <row r="16" spans="3:5" ht="16.5" x14ac:dyDescent="0.35">
      <c r="C16" s="20">
        <v>45940</v>
      </c>
      <c r="D16" s="21" t="s">
        <v>90</v>
      </c>
      <c r="E16" s="22">
        <v>3000</v>
      </c>
    </row>
    <row r="17" spans="3:5" ht="16.5" x14ac:dyDescent="0.35">
      <c r="C17" s="20">
        <v>45983</v>
      </c>
      <c r="D17" s="21" t="s">
        <v>95</v>
      </c>
      <c r="E17" s="22">
        <v>500000</v>
      </c>
    </row>
    <row r="18" spans="3:5" ht="16.5" x14ac:dyDescent="0.35">
      <c r="C18" s="20">
        <v>46013</v>
      </c>
      <c r="D18" s="21" t="s">
        <v>96</v>
      </c>
      <c r="E18" s="22">
        <v>1000</v>
      </c>
    </row>
    <row r="19" spans="3:5" ht="16.5" x14ac:dyDescent="0.35">
      <c r="C19" s="20"/>
      <c r="D19" s="21"/>
      <c r="E19" s="22"/>
    </row>
    <row r="20" spans="3:5" ht="16.5" x14ac:dyDescent="0.35">
      <c r="C20" s="20"/>
      <c r="D20" s="21"/>
      <c r="E20" s="22"/>
    </row>
    <row r="21" spans="3:5" ht="16.5" x14ac:dyDescent="0.35">
      <c r="C21" s="20"/>
      <c r="D21" s="21"/>
      <c r="E21" s="22"/>
    </row>
    <row r="22" spans="3:5" ht="16.5" x14ac:dyDescent="0.35">
      <c r="C22" s="20"/>
      <c r="D22" s="21"/>
      <c r="E22" s="22"/>
    </row>
    <row r="23" spans="3:5" ht="16.5" x14ac:dyDescent="0.35">
      <c r="C23" s="20"/>
      <c r="D23" s="21"/>
      <c r="E23" s="22"/>
    </row>
    <row r="24" spans="3:5" ht="16.5" x14ac:dyDescent="0.35">
      <c r="C24" s="20"/>
      <c r="D24" s="21"/>
      <c r="E24" s="22"/>
    </row>
    <row r="25" spans="3:5" ht="16.5" x14ac:dyDescent="0.35">
      <c r="C25" s="20"/>
      <c r="D25" s="21"/>
      <c r="E25" s="22"/>
    </row>
    <row r="26" spans="3:5" ht="16.5" x14ac:dyDescent="0.35">
      <c r="C26" s="20"/>
      <c r="D26" s="21"/>
      <c r="E26" s="22"/>
    </row>
    <row r="27" spans="3:5" ht="16.5" x14ac:dyDescent="0.35">
      <c r="C27" s="20"/>
      <c r="D27" s="21"/>
      <c r="E27" s="22"/>
    </row>
    <row r="28" spans="3:5" ht="16.5" x14ac:dyDescent="0.35">
      <c r="C28" s="20"/>
      <c r="D28" s="21"/>
      <c r="E28" s="22"/>
    </row>
    <row r="29" spans="3:5" ht="16.5" x14ac:dyDescent="0.35">
      <c r="C29" s="20"/>
      <c r="D29" s="21"/>
      <c r="E29" s="22"/>
    </row>
    <row r="30" spans="3:5" ht="16.5" x14ac:dyDescent="0.35">
      <c r="C30" s="20"/>
      <c r="D30" s="21"/>
      <c r="E30" s="22"/>
    </row>
    <row r="31" spans="3:5" ht="16.5" x14ac:dyDescent="0.35">
      <c r="C31" s="20"/>
      <c r="D31" s="21"/>
      <c r="E31" s="22"/>
    </row>
    <row r="32" spans="3:5" ht="16.5" x14ac:dyDescent="0.35">
      <c r="C32" s="20"/>
      <c r="D32" s="21"/>
      <c r="E32" s="22"/>
    </row>
    <row r="33" spans="3:5" ht="16.5" x14ac:dyDescent="0.35">
      <c r="C33" s="20"/>
      <c r="D33" s="21"/>
      <c r="E33" s="22"/>
    </row>
    <row r="34" spans="3:5" ht="16.5" x14ac:dyDescent="0.35">
      <c r="C34" s="20"/>
      <c r="D34" s="21"/>
      <c r="E34" s="22"/>
    </row>
    <row r="35" spans="3:5" ht="16.5" x14ac:dyDescent="0.35">
      <c r="C35" s="20"/>
      <c r="D35" s="21"/>
      <c r="E35" s="22"/>
    </row>
    <row r="36" spans="3:5" ht="16.5" x14ac:dyDescent="0.35">
      <c r="C36" s="20"/>
      <c r="D36" s="21"/>
      <c r="E36" s="22"/>
    </row>
    <row r="37" spans="3:5" ht="16.5" x14ac:dyDescent="0.35">
      <c r="C37" s="20"/>
      <c r="D37" s="21"/>
      <c r="E37" s="22"/>
    </row>
    <row r="38" spans="3:5" ht="16.5" x14ac:dyDescent="0.35">
      <c r="C38" s="20"/>
      <c r="D38" s="21"/>
      <c r="E38" s="22"/>
    </row>
    <row r="39" spans="3:5" ht="16.5" x14ac:dyDescent="0.35">
      <c r="C39" s="20"/>
      <c r="D39" s="21"/>
      <c r="E39" s="22"/>
    </row>
    <row r="40" spans="3:5" ht="16.5" x14ac:dyDescent="0.35">
      <c r="C40" s="20"/>
      <c r="D40" s="21"/>
      <c r="E40" s="22"/>
    </row>
    <row r="41" spans="3:5" ht="16.5" x14ac:dyDescent="0.35">
      <c r="C41" s="20"/>
      <c r="D41" s="21"/>
      <c r="E41" s="22"/>
    </row>
    <row r="42" spans="3:5" ht="16.5" x14ac:dyDescent="0.35">
      <c r="C42" s="20"/>
      <c r="D42" s="21"/>
      <c r="E42" s="22"/>
    </row>
    <row r="43" spans="3:5" ht="16.5" x14ac:dyDescent="0.35">
      <c r="C43" s="20"/>
      <c r="D43" s="21"/>
      <c r="E43" s="22"/>
    </row>
  </sheetData>
  <sheetProtection sheet="1" objects="1" scenarios="1" selectLockedCells="1"/>
  <mergeCells count="2">
    <mergeCell ref="C4:E4"/>
    <mergeCell ref="C8:E8"/>
  </mergeCells>
  <dataValidations count="1">
    <dataValidation type="list" allowBlank="1" showInputMessage="1" showErrorMessage="1" sqref="D10:D43" xr:uid="{C2DA6CCF-4A8C-44B6-8047-3A6BF424C27F}">
      <formula1>"HOLERITE,CNPJ,FREELANCER"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D2B5-B1E7-4FDD-BF29-F104EE953B70}">
  <sheetPr codeName="Planilha4"/>
  <dimension ref="A1:E43"/>
  <sheetViews>
    <sheetView showGridLines="0" showRowColHeaders="0" zoomScale="80" zoomScaleNormal="80" workbookViewId="0">
      <selection activeCell="C28" sqref="C28"/>
    </sheetView>
  </sheetViews>
  <sheetFormatPr defaultRowHeight="14.5" x14ac:dyDescent="0.35"/>
  <cols>
    <col min="1" max="1" width="29.7265625" style="1" customWidth="1"/>
    <col min="3" max="5" width="33.90625" customWidth="1"/>
  </cols>
  <sheetData>
    <row r="1" spans="3:5" x14ac:dyDescent="0.35">
      <c r="C1" s="26"/>
      <c r="D1" s="26"/>
      <c r="E1" s="26"/>
    </row>
    <row r="2" spans="3:5" x14ac:dyDescent="0.35">
      <c r="C2" s="26"/>
      <c r="D2" s="26"/>
      <c r="E2" s="26"/>
    </row>
    <row r="3" spans="3:5" ht="20" thickBot="1" x14ac:dyDescent="0.5">
      <c r="C3" s="27" t="s">
        <v>92</v>
      </c>
      <c r="D3" s="28"/>
      <c r="E3" s="28"/>
    </row>
    <row r="4" spans="3:5" ht="25" customHeight="1" thickTop="1" x14ac:dyDescent="0.35">
      <c r="C4" s="29" t="s">
        <v>91</v>
      </c>
      <c r="D4" s="29"/>
      <c r="E4" s="29"/>
    </row>
    <row r="5" spans="3:5" x14ac:dyDescent="0.35">
      <c r="C5" s="26"/>
      <c r="D5" s="26"/>
      <c r="E5" s="26"/>
    </row>
    <row r="6" spans="3:5" x14ac:dyDescent="0.35">
      <c r="C6" s="26"/>
      <c r="D6" s="26"/>
      <c r="E6" s="26"/>
    </row>
    <row r="7" spans="3:5" x14ac:dyDescent="0.35">
      <c r="C7" s="26"/>
      <c r="D7" s="26"/>
      <c r="E7" s="26"/>
    </row>
    <row r="8" spans="3:5" ht="16.5" x14ac:dyDescent="0.45">
      <c r="C8" s="30" t="str">
        <f>TITULAR!C3</f>
        <v>1. DADOS DO TITULAR</v>
      </c>
      <c r="D8" s="30"/>
      <c r="E8" s="30"/>
    </row>
    <row r="9" spans="3:5" ht="16.5" x14ac:dyDescent="0.45">
      <c r="C9" s="31" t="str">
        <f>TITULAR!C6</f>
        <v>NOME</v>
      </c>
      <c r="D9" s="32" t="str">
        <f>TITULAR!D6</f>
        <v>FELIPE SKYWALKER NOBUNAGA</v>
      </c>
      <c r="E9" s="32"/>
    </row>
    <row r="10" spans="3:5" ht="16.5" x14ac:dyDescent="0.45">
      <c r="C10" s="31" t="str">
        <f>TITULAR!C7</f>
        <v>CPF</v>
      </c>
      <c r="D10" s="33">
        <f>TITULAR!D7</f>
        <v>12312312322</v>
      </c>
      <c r="E10" s="33"/>
    </row>
    <row r="11" spans="3:5" ht="16.5" x14ac:dyDescent="0.45">
      <c r="C11" s="31" t="str">
        <f>TITULAR!C8</f>
        <v>NASCIMENTO</v>
      </c>
      <c r="D11" s="34">
        <f>TITULAR!D8</f>
        <v>34605</v>
      </c>
      <c r="E11" s="34"/>
    </row>
    <row r="12" spans="3:5" ht="16.5" x14ac:dyDescent="0.35">
      <c r="C12" s="23"/>
      <c r="D12" s="24"/>
      <c r="E12" s="25"/>
    </row>
    <row r="13" spans="3:5" ht="16.5" x14ac:dyDescent="0.45">
      <c r="C13" s="30" t="str">
        <f>INFORMES!C3</f>
        <v>2. INFORMES DE RENDIMENTOS BANCÁRIOS</v>
      </c>
      <c r="D13" s="30"/>
      <c r="E13" s="30"/>
    </row>
    <row r="14" spans="3:5" ht="16.5" x14ac:dyDescent="0.45">
      <c r="C14" s="31" t="str">
        <f>INFORMES!D10</f>
        <v>341 - Itaú Unibanco</v>
      </c>
      <c r="D14" s="35">
        <f>INFORMES!D11</f>
        <v>500000</v>
      </c>
      <c r="E14" s="35"/>
    </row>
    <row r="15" spans="3:5" ht="16.5" x14ac:dyDescent="0.45">
      <c r="C15" s="31" t="str">
        <f>INFORMES!D15</f>
        <v>237 - Banco Bradesco</v>
      </c>
      <c r="D15" s="35">
        <f>INFORMES!D16</f>
        <v>1312312</v>
      </c>
      <c r="E15" s="35"/>
    </row>
    <row r="16" spans="3:5" ht="16.5" x14ac:dyDescent="0.45">
      <c r="C16" s="31" t="str">
        <f>INFORMES!D20</f>
        <v>33 - Banco Santander</v>
      </c>
      <c r="D16" s="35">
        <f>INFORMES!D21</f>
        <v>5656540</v>
      </c>
      <c r="E16" s="35"/>
    </row>
    <row r="17" spans="3:5" ht="16.5" x14ac:dyDescent="0.45">
      <c r="C17" s="36" t="str">
        <f>INFORMES!D25</f>
        <v>260 - Nubank</v>
      </c>
      <c r="D17" s="35">
        <f>INFORMES!D26</f>
        <v>60000</v>
      </c>
      <c r="E17" s="35"/>
    </row>
    <row r="18" spans="3:5" ht="16.5" x14ac:dyDescent="0.45">
      <c r="C18" s="36" t="str">
        <f>INFORMES!D30</f>
        <v>82 - Banco Topázio</v>
      </c>
      <c r="D18" s="35">
        <f>INFORMES!D31</f>
        <v>40000</v>
      </c>
      <c r="E18" s="35"/>
    </row>
    <row r="19" spans="3:5" ht="16.5" x14ac:dyDescent="0.35">
      <c r="C19" s="37" t="s">
        <v>97</v>
      </c>
      <c r="D19" s="38">
        <f>INFORMES!C7</f>
        <v>7568852</v>
      </c>
      <c r="E19" s="38"/>
    </row>
    <row r="20" spans="3:5" x14ac:dyDescent="0.35">
      <c r="C20" s="26"/>
      <c r="D20" s="26"/>
      <c r="E20" s="26"/>
    </row>
    <row r="21" spans="3:5" ht="16.5" x14ac:dyDescent="0.45">
      <c r="C21" s="30" t="str">
        <f>NOTAS!C3</f>
        <v>3. NOTAS BANCÁRIAS OU EXTRATO DE HOLERITES</v>
      </c>
      <c r="D21" s="30"/>
      <c r="E21" s="30"/>
    </row>
    <row r="22" spans="3:5" ht="16.5" x14ac:dyDescent="0.45">
      <c r="C22" s="39" t="s">
        <v>90</v>
      </c>
      <c r="D22" s="40">
        <f>SUMIF(NOTAS!$D$10:$D$43,RESUMO!C22,NOTAS!$E$10:$E$43)</f>
        <v>9000</v>
      </c>
      <c r="E22" s="40"/>
    </row>
    <row r="23" spans="3:5" ht="16.5" x14ac:dyDescent="0.45">
      <c r="C23" s="39" t="s">
        <v>95</v>
      </c>
      <c r="D23" s="40">
        <f>SUMIF(NOTAS!$D$10:$D$43,RESUMO!C23,NOTAS!$E$10:$E$43)</f>
        <v>600000</v>
      </c>
      <c r="E23" s="40"/>
    </row>
    <row r="24" spans="3:5" ht="16.5" x14ac:dyDescent="0.45">
      <c r="C24" s="39" t="s">
        <v>96</v>
      </c>
      <c r="D24" s="40">
        <f>SUMIF(NOTAS!$D$10:$D$43,RESUMO!C24,NOTAS!$E$10:$E$43)</f>
        <v>3000</v>
      </c>
      <c r="E24" s="40"/>
    </row>
    <row r="25" spans="3:5" ht="16.5" x14ac:dyDescent="0.35">
      <c r="C25" s="37" t="s">
        <v>98</v>
      </c>
      <c r="D25" s="38">
        <f>SUM(D22:E24)</f>
        <v>612000</v>
      </c>
      <c r="E25" s="38"/>
    </row>
    <row r="26" spans="3:5" ht="16.5" x14ac:dyDescent="0.35">
      <c r="C26" s="23"/>
      <c r="D26" s="24"/>
      <c r="E26" s="25"/>
    </row>
    <row r="27" spans="3:5" ht="16.5" x14ac:dyDescent="0.35">
      <c r="C27" s="23"/>
      <c r="D27" s="24"/>
      <c r="E27" s="25"/>
    </row>
    <row r="28" spans="3:5" ht="16.5" x14ac:dyDescent="0.35">
      <c r="C28" s="20"/>
      <c r="D28" s="21"/>
      <c r="E28" s="22"/>
    </row>
    <row r="29" spans="3:5" ht="16.5" x14ac:dyDescent="0.35">
      <c r="C29" s="20"/>
      <c r="D29" s="21"/>
      <c r="E29" s="22"/>
    </row>
    <row r="30" spans="3:5" ht="16.5" x14ac:dyDescent="0.35">
      <c r="C30" s="20"/>
      <c r="D30" s="21"/>
      <c r="E30" s="22"/>
    </row>
    <row r="31" spans="3:5" ht="16.5" x14ac:dyDescent="0.35">
      <c r="C31" s="20"/>
      <c r="D31" s="21"/>
      <c r="E31" s="22"/>
    </row>
    <row r="32" spans="3:5" ht="16.5" x14ac:dyDescent="0.35">
      <c r="C32" s="20"/>
      <c r="D32" s="21"/>
      <c r="E32" s="22"/>
    </row>
    <row r="33" spans="3:5" ht="16.5" x14ac:dyDescent="0.35">
      <c r="C33" s="20"/>
      <c r="D33" s="21"/>
      <c r="E33" s="22"/>
    </row>
    <row r="34" spans="3:5" ht="16.5" x14ac:dyDescent="0.35">
      <c r="C34" s="20"/>
      <c r="D34" s="21"/>
      <c r="E34" s="22"/>
    </row>
    <row r="35" spans="3:5" ht="16.5" x14ac:dyDescent="0.35">
      <c r="C35" s="20"/>
      <c r="D35" s="21"/>
      <c r="E35" s="22"/>
    </row>
    <row r="36" spans="3:5" ht="16.5" x14ac:dyDescent="0.35">
      <c r="C36" s="20"/>
      <c r="D36" s="21"/>
      <c r="E36" s="22"/>
    </row>
    <row r="37" spans="3:5" ht="16.5" x14ac:dyDescent="0.35">
      <c r="C37" s="20"/>
      <c r="D37" s="21"/>
      <c r="E37" s="22"/>
    </row>
    <row r="38" spans="3:5" ht="16.5" x14ac:dyDescent="0.35">
      <c r="C38" s="20"/>
      <c r="D38" s="21"/>
      <c r="E38" s="22"/>
    </row>
    <row r="39" spans="3:5" ht="16.5" x14ac:dyDescent="0.35">
      <c r="C39" s="20"/>
      <c r="D39" s="21"/>
      <c r="E39" s="22"/>
    </row>
    <row r="40" spans="3:5" ht="16.5" x14ac:dyDescent="0.35">
      <c r="C40" s="20"/>
      <c r="D40" s="21"/>
      <c r="E40" s="22"/>
    </row>
    <row r="41" spans="3:5" ht="16.5" x14ac:dyDescent="0.35">
      <c r="C41" s="20"/>
      <c r="D41" s="21"/>
      <c r="E41" s="22"/>
    </row>
    <row r="42" spans="3:5" ht="16.5" x14ac:dyDescent="0.35">
      <c r="C42" s="20"/>
      <c r="D42" s="21"/>
      <c r="E42" s="22"/>
    </row>
    <row r="43" spans="3:5" ht="16.5" x14ac:dyDescent="0.35">
      <c r="C43" s="20"/>
      <c r="D43" s="21"/>
      <c r="E43" s="22"/>
    </row>
  </sheetData>
  <sheetProtection sheet="1" objects="1" scenarios="1" selectLockedCells="1"/>
  <mergeCells count="17">
    <mergeCell ref="D22:E22"/>
    <mergeCell ref="D23:E23"/>
    <mergeCell ref="D24:E24"/>
    <mergeCell ref="D25:E25"/>
    <mergeCell ref="D19:E19"/>
    <mergeCell ref="D14:E14"/>
    <mergeCell ref="D15:E15"/>
    <mergeCell ref="D16:E16"/>
    <mergeCell ref="D17:E17"/>
    <mergeCell ref="D18:E18"/>
    <mergeCell ref="C21:E21"/>
    <mergeCell ref="C4:E4"/>
    <mergeCell ref="C8:E8"/>
    <mergeCell ref="D9:E9"/>
    <mergeCell ref="D10:E10"/>
    <mergeCell ref="D11:E11"/>
    <mergeCell ref="C13:E13"/>
  </mergeCells>
  <dataValidations count="1">
    <dataValidation type="list" allowBlank="1" showInputMessage="1" showErrorMessage="1" sqref="D12" xr:uid="{6B01F479-FD6E-46E1-A845-2C3341317F85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06661-A834-498D-AF04-DDB24ADC1EC7}">
  <dimension ref="A1:A51"/>
  <sheetViews>
    <sheetView showGridLines="0" topLeftCell="A44" workbookViewId="0"/>
  </sheetViews>
  <sheetFormatPr defaultRowHeight="14.5" x14ac:dyDescent="0.35"/>
  <cols>
    <col min="1" max="1" width="34.81640625" bestFit="1" customWidth="1"/>
  </cols>
  <sheetData>
    <row r="1" spans="1:1" x14ac:dyDescent="0.35">
      <c r="A1" s="6" t="s">
        <v>28</v>
      </c>
    </row>
    <row r="2" spans="1:1" x14ac:dyDescent="0.35">
      <c r="A2" t="s">
        <v>29</v>
      </c>
    </row>
    <row r="3" spans="1:1" x14ac:dyDescent="0.35">
      <c r="A3" t="s">
        <v>30</v>
      </c>
    </row>
    <row r="4" spans="1:1" x14ac:dyDescent="0.35">
      <c r="A4" t="s">
        <v>31</v>
      </c>
    </row>
    <row r="5" spans="1:1" x14ac:dyDescent="0.35">
      <c r="A5" t="s">
        <v>32</v>
      </c>
    </row>
    <row r="6" spans="1:1" x14ac:dyDescent="0.35">
      <c r="A6" t="s">
        <v>33</v>
      </c>
    </row>
    <row r="7" spans="1:1" x14ac:dyDescent="0.35">
      <c r="A7" t="s">
        <v>34</v>
      </c>
    </row>
    <row r="8" spans="1:1" x14ac:dyDescent="0.35">
      <c r="A8" t="s">
        <v>35</v>
      </c>
    </row>
    <row r="9" spans="1:1" x14ac:dyDescent="0.35">
      <c r="A9" t="s">
        <v>36</v>
      </c>
    </row>
    <row r="10" spans="1:1" x14ac:dyDescent="0.35">
      <c r="A10" t="s">
        <v>37</v>
      </c>
    </row>
    <row r="11" spans="1:1" x14ac:dyDescent="0.35">
      <c r="A11" t="s">
        <v>38</v>
      </c>
    </row>
    <row r="12" spans="1:1" x14ac:dyDescent="0.35">
      <c r="A12" t="s">
        <v>39</v>
      </c>
    </row>
    <row r="13" spans="1:1" x14ac:dyDescent="0.35">
      <c r="A13" t="s">
        <v>40</v>
      </c>
    </row>
    <row r="14" spans="1:1" x14ac:dyDescent="0.35">
      <c r="A14" t="s">
        <v>41</v>
      </c>
    </row>
    <row r="15" spans="1:1" x14ac:dyDescent="0.35">
      <c r="A15" t="s">
        <v>42</v>
      </c>
    </row>
    <row r="16" spans="1:1" x14ac:dyDescent="0.35">
      <c r="A16" t="s">
        <v>43</v>
      </c>
    </row>
    <row r="17" spans="1:1" x14ac:dyDescent="0.35">
      <c r="A17" t="s">
        <v>44</v>
      </c>
    </row>
    <row r="18" spans="1:1" x14ac:dyDescent="0.35">
      <c r="A18" t="s">
        <v>45</v>
      </c>
    </row>
    <row r="19" spans="1:1" x14ac:dyDescent="0.35">
      <c r="A19" t="s">
        <v>46</v>
      </c>
    </row>
    <row r="20" spans="1:1" x14ac:dyDescent="0.35">
      <c r="A20" t="s">
        <v>47</v>
      </c>
    </row>
    <row r="21" spans="1:1" x14ac:dyDescent="0.35">
      <c r="A21" t="s">
        <v>48</v>
      </c>
    </row>
    <row r="22" spans="1:1" x14ac:dyDescent="0.35">
      <c r="A22" t="s">
        <v>49</v>
      </c>
    </row>
    <row r="23" spans="1:1" x14ac:dyDescent="0.35">
      <c r="A23" t="s">
        <v>50</v>
      </c>
    </row>
    <row r="24" spans="1:1" x14ac:dyDescent="0.35">
      <c r="A24" t="s">
        <v>51</v>
      </c>
    </row>
    <row r="25" spans="1:1" x14ac:dyDescent="0.35">
      <c r="A25" t="s">
        <v>52</v>
      </c>
    </row>
    <row r="26" spans="1:1" x14ac:dyDescent="0.35">
      <c r="A26" t="s">
        <v>53</v>
      </c>
    </row>
    <row r="27" spans="1:1" x14ac:dyDescent="0.35">
      <c r="A27" t="s">
        <v>54</v>
      </c>
    </row>
    <row r="28" spans="1:1" x14ac:dyDescent="0.35">
      <c r="A28" t="s">
        <v>55</v>
      </c>
    </row>
    <row r="29" spans="1:1" x14ac:dyDescent="0.35">
      <c r="A29" t="s">
        <v>56</v>
      </c>
    </row>
    <row r="30" spans="1:1" x14ac:dyDescent="0.35">
      <c r="A30" t="s">
        <v>57</v>
      </c>
    </row>
    <row r="31" spans="1:1" x14ac:dyDescent="0.35">
      <c r="A31" t="s">
        <v>58</v>
      </c>
    </row>
    <row r="32" spans="1:1" x14ac:dyDescent="0.35">
      <c r="A32" t="s">
        <v>59</v>
      </c>
    </row>
    <row r="33" spans="1:1" x14ac:dyDescent="0.35">
      <c r="A33" t="s">
        <v>60</v>
      </c>
    </row>
    <row r="34" spans="1:1" x14ac:dyDescent="0.35">
      <c r="A34" t="s">
        <v>61</v>
      </c>
    </row>
    <row r="35" spans="1:1" x14ac:dyDescent="0.35">
      <c r="A35" t="s">
        <v>62</v>
      </c>
    </row>
    <row r="36" spans="1:1" x14ac:dyDescent="0.35">
      <c r="A36" t="s">
        <v>63</v>
      </c>
    </row>
    <row r="37" spans="1:1" x14ac:dyDescent="0.35">
      <c r="A37" t="s">
        <v>64</v>
      </c>
    </row>
    <row r="38" spans="1:1" x14ac:dyDescent="0.35">
      <c r="A38" t="s">
        <v>65</v>
      </c>
    </row>
    <row r="39" spans="1:1" x14ac:dyDescent="0.35">
      <c r="A39" t="s">
        <v>66</v>
      </c>
    </row>
    <row r="40" spans="1:1" x14ac:dyDescent="0.35">
      <c r="A40" t="s">
        <v>67</v>
      </c>
    </row>
    <row r="41" spans="1:1" x14ac:dyDescent="0.35">
      <c r="A41" t="s">
        <v>68</v>
      </c>
    </row>
    <row r="42" spans="1:1" x14ac:dyDescent="0.35">
      <c r="A42" t="s">
        <v>69</v>
      </c>
    </row>
    <row r="43" spans="1:1" x14ac:dyDescent="0.35">
      <c r="A43" t="s">
        <v>70</v>
      </c>
    </row>
    <row r="44" spans="1:1" x14ac:dyDescent="0.35">
      <c r="A44" t="s">
        <v>71</v>
      </c>
    </row>
    <row r="45" spans="1:1" x14ac:dyDescent="0.35">
      <c r="A45" t="s">
        <v>72</v>
      </c>
    </row>
    <row r="46" spans="1:1" x14ac:dyDescent="0.35">
      <c r="A46" t="s">
        <v>73</v>
      </c>
    </row>
    <row r="47" spans="1:1" x14ac:dyDescent="0.35">
      <c r="A47" t="s">
        <v>74</v>
      </c>
    </row>
    <row r="48" spans="1:1" x14ac:dyDescent="0.35">
      <c r="A48" t="s">
        <v>75</v>
      </c>
    </row>
    <row r="49" spans="1:1" x14ac:dyDescent="0.35">
      <c r="A49" t="s">
        <v>76</v>
      </c>
    </row>
    <row r="50" spans="1:1" x14ac:dyDescent="0.35">
      <c r="A50" t="s">
        <v>77</v>
      </c>
    </row>
    <row r="51" spans="1:1" x14ac:dyDescent="0.35">
      <c r="A51" t="s">
        <v>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TITULAR</vt:lpstr>
      <vt:lpstr>INFORMES</vt:lpstr>
      <vt:lpstr>NOTAS</vt:lpstr>
      <vt:lpstr>RESUMO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Hart</dc:creator>
  <cp:lastModifiedBy>Sara Hart</cp:lastModifiedBy>
  <dcterms:created xsi:type="dcterms:W3CDTF">2026-02-07T22:22:09Z</dcterms:created>
  <dcterms:modified xsi:type="dcterms:W3CDTF">2026-02-11T02:29:23Z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215e56b-ef4b-4844-bea7-98c4a5e03ecd_Enabled">
    <vt:lpwstr>true</vt:lpwstr>
  </property>
  <property fmtid="{D5CDD505-2E9C-101B-9397-08002B2CF9AE}" pid="3" name="MSIP_Label_b215e56b-ef4b-4844-bea7-98c4a5e03ecd_SetDate">
    <vt:lpwstr>2026-02-07T22:44:09Z</vt:lpwstr>
  </property>
  <property fmtid="{D5CDD505-2E9C-101B-9397-08002B2CF9AE}" pid="4" name="MSIP_Label_b215e56b-ef4b-4844-bea7-98c4a5e03ecd_Method">
    <vt:lpwstr>Privileged</vt:lpwstr>
  </property>
  <property fmtid="{D5CDD505-2E9C-101B-9397-08002B2CF9AE}" pid="5" name="MSIP_Label_b215e56b-ef4b-4844-bea7-98c4a5e03ecd_Name">
    <vt:lpwstr>Publico</vt:lpwstr>
  </property>
  <property fmtid="{D5CDD505-2E9C-101B-9397-08002B2CF9AE}" pid="6" name="MSIP_Label_b215e56b-ef4b-4844-bea7-98c4a5e03ecd_SiteId">
    <vt:lpwstr>7cf0abce-133b-4c38-9c36-6611cdd76242</vt:lpwstr>
  </property>
  <property fmtid="{D5CDD505-2E9C-101B-9397-08002B2CF9AE}" pid="7" name="MSIP_Label_b215e56b-ef4b-4844-bea7-98c4a5e03ecd_ActionId">
    <vt:lpwstr>3b66b953-d7b5-4b3a-9ace-71f57391486f</vt:lpwstr>
  </property>
  <property fmtid="{D5CDD505-2E9C-101B-9397-08002B2CF9AE}" pid="8" name="MSIP_Label_b215e56b-ef4b-4844-bea7-98c4a5e03ecd_ContentBits">
    <vt:lpwstr>0</vt:lpwstr>
  </property>
  <property fmtid="{D5CDD505-2E9C-101B-9397-08002B2CF9AE}" pid="9" name="MSIP_Label_b215e56b-ef4b-4844-bea7-98c4a5e03ecd_Tag">
    <vt:lpwstr>10, 0, 1, 1</vt:lpwstr>
  </property>
</Properties>
</file>